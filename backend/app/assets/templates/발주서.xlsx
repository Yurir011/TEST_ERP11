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OUD\SynologyDrive\Drive\발주서\"/>
    </mc:Choice>
  </mc:AlternateContent>
  <xr:revisionPtr revIDLastSave="0" documentId="13_ncr:1_{CA7CE3A3-0C0F-4AE5-A324-DAEB21292647}" xr6:coauthVersionLast="47" xr6:coauthVersionMax="47" xr10:uidLastSave="{00000000-0000-0000-0000-000000000000}"/>
  <bookViews>
    <workbookView xWindow="4320" yWindow="750" windowWidth="30010" windowHeight="19580" xr2:uid="{00000000-000D-0000-FFFF-FFFF00000000}"/>
  </bookViews>
  <sheets>
    <sheet name="견적서" sheetId="29" r:id="rId1"/>
  </sheets>
  <calcPr calcId="181029"/>
</workbook>
</file>

<file path=xl/calcChain.xml><?xml version="1.0" encoding="utf-8"?>
<calcChain xmlns="http://schemas.openxmlformats.org/spreadsheetml/2006/main">
  <c r="F14" i="29" l="1"/>
  <c r="F28" i="29" l="1"/>
  <c r="F29" i="29" s="1"/>
  <c r="F30" i="29" l="1"/>
  <c r="F12" i="29" s="1"/>
  <c r="C12" i="29" l="1"/>
</calcChain>
</file>

<file path=xl/sharedStrings.xml><?xml version="1.0" encoding="utf-8"?>
<sst xmlns="http://schemas.openxmlformats.org/spreadsheetml/2006/main" count="27" uniqueCount="27">
  <si>
    <t>REMARK</t>
    <phoneticPr fontId="2" type="noConversion"/>
  </si>
  <si>
    <t>소계 / SUB TOTAL</t>
    <phoneticPr fontId="2" type="noConversion"/>
  </si>
  <si>
    <t>합계 / TOTAL</t>
    <phoneticPr fontId="2" type="noConversion"/>
  </si>
  <si>
    <t>일금</t>
    <phoneticPr fontId="2" type="noConversion"/>
  </si>
  <si>
    <t>수량/Q'TY</t>
    <phoneticPr fontId="2" type="noConversion"/>
  </si>
  <si>
    <t>내용/DESCRIPTIONS</t>
    <phoneticPr fontId="2" type="noConversion"/>
  </si>
  <si>
    <t>합계/COST</t>
    <phoneticPr fontId="2" type="noConversion"/>
  </si>
  <si>
    <t>비고/REMARKS</t>
    <phoneticPr fontId="2" type="noConversion"/>
  </si>
  <si>
    <t>합 계</t>
    <phoneticPr fontId="2" type="noConversion"/>
  </si>
  <si>
    <t>부가세</t>
    <phoneticPr fontId="2" type="noConversion"/>
  </si>
  <si>
    <t>주식회사 벤치소프트 / TEL : 070-7841-0310 / FAX : 032-327-7767 / www.bench-soft.com / 담당자 : 정영란</t>
    <phoneticPr fontId="2" type="noConversion"/>
  </si>
  <si>
    <t>원정</t>
    <phoneticPr fontId="2" type="noConversion"/>
  </si>
  <si>
    <t>주식회사 벤치소프트</t>
    <phoneticPr fontId="2" type="noConversion"/>
  </si>
  <si>
    <t xml:space="preserve"> 이 하 여 백</t>
    <phoneticPr fontId="2" type="noConversion"/>
  </si>
  <si>
    <r>
      <t>발   주   서</t>
    </r>
    <r>
      <rPr>
        <b/>
        <sz val="28"/>
        <color indexed="9"/>
        <rFont val="HY그래픽M"/>
        <family val="1"/>
        <charset val="129"/>
      </rPr>
      <t xml:space="preserve"> </t>
    </r>
    <phoneticPr fontId="2" type="noConversion"/>
  </si>
  <si>
    <t xml:space="preserve">■ 종목 : 통신장비, 전자제품             </t>
    <phoneticPr fontId="2" type="noConversion"/>
  </si>
  <si>
    <t>■ 담당자 메일 : info@bench-soft.com</t>
    <phoneticPr fontId="2" type="noConversion"/>
  </si>
  <si>
    <t xml:space="preserve">    ■ 사업자번호: 122-86-39814                </t>
    <phoneticPr fontId="2" type="noConversion"/>
  </si>
  <si>
    <t xml:space="preserve">    ■ 업태 : 제조업                                  </t>
    <phoneticPr fontId="2" type="noConversion"/>
  </si>
  <si>
    <t>■ 주소: 인천광역시 부평구 주부토로 236(갈산동), 인천테크노밸린 U1센터 A동 S907호</t>
    <phoneticPr fontId="2" type="noConversion"/>
  </si>
  <si>
    <r>
      <t xml:space="preserve">  아래와 같이 발주 드립니다.                                            ㈜벤치소프트 대표 정혜란</t>
    </r>
    <r>
      <rPr>
        <b/>
        <sz val="9"/>
        <rFont val="맑은 고딕"/>
        <family val="3"/>
        <charset val="129"/>
      </rPr>
      <t xml:space="preserve">   (인)    </t>
    </r>
    <phoneticPr fontId="2" type="noConversion"/>
  </si>
  <si>
    <t>단가</t>
    <phoneticPr fontId="2" type="noConversion"/>
  </si>
  <si>
    <t>거래처명 : IDEA INC Co.,Ltd.</t>
    <phoneticPr fontId="2" type="noConversion"/>
  </si>
  <si>
    <t>MC96F8216SUBN(T)</t>
    <phoneticPr fontId="2" type="noConversion"/>
  </si>
  <si>
    <t>수신견적서: REF No. ID20240102-A02 , 납품처 : 본사 주소지</t>
    <phoneticPr fontId="2" type="noConversion"/>
  </si>
  <si>
    <r>
      <t>DATE : 2026</t>
    </r>
    <r>
      <rPr>
        <b/>
        <sz val="10"/>
        <rFont val="맑은 고딕"/>
        <family val="3"/>
        <charset val="129"/>
      </rPr>
      <t>년  10 월  13 일</t>
    </r>
    <phoneticPr fontId="2" type="noConversion"/>
  </si>
  <si>
    <t>담당자 :  한우식 대표님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</si>
</sst>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);[Red]\(&quot;₩&quot;#,##0\)"/>
    <numFmt numFmtId="177" formatCode="_-[$₩-412]* #,##0.00_-;\-[$₩-412]* #,##0.00_-;_-[$₩-412]* &quot;-&quot;??_-;_-@_-"/>
    <numFmt numFmtId="178" formatCode="[DBNum4][$-412]General"/>
  </numFmts>
  <fonts count="2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HY그래픽M"/>
      <family val="1"/>
      <charset val="129"/>
    </font>
    <font>
      <sz val="28"/>
      <name val="HY그래픽M"/>
      <family val="1"/>
      <charset val="129"/>
    </font>
    <font>
      <sz val="10"/>
      <name val="HY그래픽M"/>
      <family val="1"/>
      <charset val="129"/>
    </font>
    <font>
      <b/>
      <sz val="28"/>
      <name val="HY그래픽M"/>
      <family val="1"/>
      <charset val="129"/>
    </font>
    <font>
      <b/>
      <sz val="10"/>
      <name val="HY그래픽M"/>
      <family val="1"/>
      <charset val="129"/>
    </font>
    <font>
      <b/>
      <sz val="28"/>
      <color indexed="9"/>
      <name val="HY그래픽M"/>
      <family val="1"/>
      <charset val="129"/>
    </font>
    <font>
      <b/>
      <sz val="8"/>
      <name val="HY그래픽M"/>
      <family val="1"/>
      <charset val="129"/>
    </font>
    <font>
      <sz val="8"/>
      <name val="HY그래픽M"/>
      <family val="1"/>
      <charset val="129"/>
    </font>
    <font>
      <b/>
      <sz val="13"/>
      <color indexed="9"/>
      <name val="새굴림"/>
      <family val="1"/>
      <charset val="129"/>
    </font>
    <font>
      <sz val="11"/>
      <name val="새굴림"/>
      <family val="1"/>
      <charset val="129"/>
    </font>
    <font>
      <b/>
      <sz val="24"/>
      <color indexed="9"/>
      <name val="HY그래픽M"/>
      <family val="1"/>
      <charset val="129"/>
    </font>
    <font>
      <b/>
      <sz val="11"/>
      <name val="HY그래픽M"/>
      <family val="1"/>
      <charset val="129"/>
    </font>
    <font>
      <b/>
      <sz val="7"/>
      <name val="HY그래픽M"/>
      <family val="1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3"/>
      <color theme="1" tint="0.34998626667073579"/>
      <name val="HY헤드라인M"/>
      <family val="1"/>
      <charset val="129"/>
    </font>
    <font>
      <b/>
      <sz val="9"/>
      <name val="맑은 고딕"/>
      <family val="3"/>
      <charset val="129"/>
      <scheme val="major"/>
    </font>
    <font>
      <b/>
      <sz val="8"/>
      <color indexed="9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34998626667073579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2" fontId="5" fillId="0" borderId="0" xfId="2" applyFont="1" applyAlignment="1">
      <alignment vertical="center"/>
    </xf>
    <xf numFmtId="0" fontId="5" fillId="0" borderId="0" xfId="0" applyFont="1"/>
    <xf numFmtId="42" fontId="5" fillId="0" borderId="0" xfId="2" applyFont="1" applyAlignment="1">
      <alignment horizontal="left" vertical="center"/>
    </xf>
    <xf numFmtId="42" fontId="5" fillId="0" borderId="1" xfId="2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2" fontId="5" fillId="0" borderId="2" xfId="0" applyNumberFormat="1" applyFont="1" applyBorder="1" applyAlignment="1">
      <alignment vertical="center"/>
    </xf>
    <xf numFmtId="42" fontId="5" fillId="0" borderId="0" xfId="2" applyFont="1" applyBorder="1" applyAlignment="1">
      <alignment vertical="center"/>
    </xf>
    <xf numFmtId="0" fontId="10" fillId="0" borderId="0" xfId="0" applyFont="1"/>
    <xf numFmtId="42" fontId="10" fillId="0" borderId="0" xfId="2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2" fillId="0" borderId="0" xfId="0" applyFont="1"/>
    <xf numFmtId="41" fontId="12" fillId="0" borderId="0" xfId="1" applyFont="1" applyAlignment="1">
      <alignment vertical="center"/>
    </xf>
    <xf numFmtId="0" fontId="11" fillId="0" borderId="0" xfId="0" applyFont="1" applyAlignment="1">
      <alignment horizontal="center" vertical="center"/>
    </xf>
    <xf numFmtId="42" fontId="9" fillId="0" borderId="0" xfId="2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42" fontId="19" fillId="0" borderId="2" xfId="0" applyNumberFormat="1" applyFont="1" applyBorder="1" applyAlignment="1">
      <alignment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42" fontId="19" fillId="0" borderId="1" xfId="2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42" fontId="7" fillId="0" borderId="8" xfId="2" applyFont="1" applyFill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42" fontId="7" fillId="2" borderId="8" xfId="2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7" fontId="14" fillId="2" borderId="6" xfId="0" applyNumberFormat="1" applyFont="1" applyFill="1" applyBorder="1" applyAlignment="1">
      <alignment horizontal="left" vertical="center"/>
    </xf>
    <xf numFmtId="41" fontId="19" fillId="0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8" fillId="0" borderId="17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178" fontId="14" fillId="2" borderId="21" xfId="0" applyNumberFormat="1" applyFont="1" applyFill="1" applyBorder="1" applyAlignment="1">
      <alignment horizontal="right" vertical="center"/>
    </xf>
    <xf numFmtId="176" fontId="14" fillId="2" borderId="8" xfId="2" applyNumberFormat="1" applyFont="1" applyFill="1" applyBorder="1" applyAlignment="1">
      <alignment horizontal="center" vertical="center"/>
    </xf>
    <xf numFmtId="176" fontId="14" fillId="2" borderId="7" xfId="2" applyNumberFormat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42" fontId="19" fillId="0" borderId="1" xfId="2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2" fontId="19" fillId="0" borderId="2" xfId="2" applyFont="1" applyBorder="1" applyAlignment="1">
      <alignment horizontal="center" vertical="center"/>
    </xf>
    <xf numFmtId="42" fontId="19" fillId="0" borderId="3" xfId="2" applyFont="1" applyBorder="1" applyAlignment="1">
      <alignment horizontal="center" vertical="center"/>
    </xf>
    <xf numFmtId="0" fontId="22" fillId="3" borderId="14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2" fontId="5" fillId="0" borderId="1" xfId="2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2" fontId="7" fillId="2" borderId="7" xfId="2" applyFont="1" applyFill="1" applyBorder="1" applyAlignment="1">
      <alignment horizontal="center" vertical="center"/>
    </xf>
    <xf numFmtId="42" fontId="7" fillId="2" borderId="6" xfId="2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top" wrapText="1"/>
    </xf>
    <xf numFmtId="0" fontId="18" fillId="0" borderId="19" xfId="0" applyFont="1" applyBorder="1" applyAlignment="1">
      <alignment horizontal="left" vertical="top"/>
    </xf>
    <xf numFmtId="0" fontId="18" fillId="0" borderId="20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1" xfId="0" quotePrefix="1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260349</xdr:colOff>
      <xdr:row>6</xdr:row>
      <xdr:rowOff>273050</xdr:rowOff>
    </xdr:from>
    <xdr:to>
      <xdr:col>7</xdr:col>
      <xdr:colOff>972344</xdr:colOff>
      <xdr:row>9</xdr:row>
      <xdr:rowOff>170921</xdr:rowOff>
    </xdr:to>
    <xdr:pic>
      <xdr:nvPicPr>
        <xdr:cNvPr id="43675" name="Picture 2674">
          <a:extLst>
            <a:ext uri="{FF2B5EF4-FFF2-40B4-BE49-F238E27FC236}">
              <a16:creationId xmlns:a16="http://schemas.microsoft.com/office/drawing/2014/main" id="{007A80A3-9B11-48D7-8D8A-D48162F2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3912" y="1904207"/>
          <a:ext cx="719931" cy="727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EE080E28-68A9-4D50-A1B7-92112A8A920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공급자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8179F79-E092-4E03-ABAB-28F4A5A51AE7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5912DFD4-316C-4785-A6D7-E47D4231FC46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69E3F18-EEE1-47A4-B898-B4FF738949A8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1EEB226A-724B-4FE7-B9A8-23FD15A746B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E6439083-E897-4712-8926-C92ABD26C2B9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20E0731B-264D-41AB-A8A9-3B34D9F3EB3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D3D80626-C94A-45F4-9C7C-278C7CD3FE5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D495F651-7049-416F-8913-66762B94F59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2" name="Text Box 10">
          <a:extLst>
            <a:ext uri="{FF2B5EF4-FFF2-40B4-BE49-F238E27FC236}">
              <a16:creationId xmlns:a16="http://schemas.microsoft.com/office/drawing/2014/main" id="{57746FBF-47B7-4C18-AF41-076D570E053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3" name="Text Box 11">
          <a:extLst>
            <a:ext uri="{FF2B5EF4-FFF2-40B4-BE49-F238E27FC236}">
              <a16:creationId xmlns:a16="http://schemas.microsoft.com/office/drawing/2014/main" id="{6E963578-20ED-42A1-9070-B9A03FE76A3E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4" name="Text Box 12">
          <a:extLst>
            <a:ext uri="{FF2B5EF4-FFF2-40B4-BE49-F238E27FC236}">
              <a16:creationId xmlns:a16="http://schemas.microsoft.com/office/drawing/2014/main" id="{E76F1088-020E-419C-B6E6-75B9DF73EA58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5" name="Text Box 13">
          <a:extLst>
            <a:ext uri="{FF2B5EF4-FFF2-40B4-BE49-F238E27FC236}">
              <a16:creationId xmlns:a16="http://schemas.microsoft.com/office/drawing/2014/main" id="{57A0A4FF-3270-4C6D-976B-DA47729AD29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6" name="Text Box 14">
          <a:extLst>
            <a:ext uri="{FF2B5EF4-FFF2-40B4-BE49-F238E27FC236}">
              <a16:creationId xmlns:a16="http://schemas.microsoft.com/office/drawing/2014/main" id="{83619677-CEBA-438F-A095-60EDB05ADCC2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F815999A-60CD-4A4F-8E06-0C90831D1B7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8" name="Text Box 16">
          <a:extLst>
            <a:ext uri="{FF2B5EF4-FFF2-40B4-BE49-F238E27FC236}">
              <a16:creationId xmlns:a16="http://schemas.microsoft.com/office/drawing/2014/main" id="{48440B65-C87F-402E-85D3-835F5E1D7F0A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9" name="Text Box 17">
          <a:extLst>
            <a:ext uri="{FF2B5EF4-FFF2-40B4-BE49-F238E27FC236}">
              <a16:creationId xmlns:a16="http://schemas.microsoft.com/office/drawing/2014/main" id="{A7E24ABA-78E0-43B4-8187-34E9246F32F9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0" name="Text Box 18">
          <a:extLst>
            <a:ext uri="{FF2B5EF4-FFF2-40B4-BE49-F238E27FC236}">
              <a16:creationId xmlns:a16="http://schemas.microsoft.com/office/drawing/2014/main" id="{32121189-B0BB-49FF-9937-9359ACAA7E8C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1" name="Text Box 19">
          <a:extLst>
            <a:ext uri="{FF2B5EF4-FFF2-40B4-BE49-F238E27FC236}">
              <a16:creationId xmlns:a16="http://schemas.microsoft.com/office/drawing/2014/main" id="{67F7B452-F63B-4F59-BEA3-C26E365988C6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2" name="Text Box 20">
          <a:extLst>
            <a:ext uri="{FF2B5EF4-FFF2-40B4-BE49-F238E27FC236}">
              <a16:creationId xmlns:a16="http://schemas.microsoft.com/office/drawing/2014/main" id="{62D65EA6-FD4D-4331-88B9-3894AA9D42C6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3" name="Text Box 21">
          <a:extLst>
            <a:ext uri="{FF2B5EF4-FFF2-40B4-BE49-F238E27FC236}">
              <a16:creationId xmlns:a16="http://schemas.microsoft.com/office/drawing/2014/main" id="{FA28F23B-3FE8-4EF6-B486-9FC6B7F523FD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4" name="Text Box 22">
          <a:extLst>
            <a:ext uri="{FF2B5EF4-FFF2-40B4-BE49-F238E27FC236}">
              <a16:creationId xmlns:a16="http://schemas.microsoft.com/office/drawing/2014/main" id="{AD9E61C8-FC06-4118-A5DA-955E4DE1DDC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5" name="Text Box 23">
          <a:extLst>
            <a:ext uri="{FF2B5EF4-FFF2-40B4-BE49-F238E27FC236}">
              <a16:creationId xmlns:a16="http://schemas.microsoft.com/office/drawing/2014/main" id="{383466EC-3ED6-49A4-905B-2D0E8202B975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6" name="Text Box 24">
          <a:extLst>
            <a:ext uri="{FF2B5EF4-FFF2-40B4-BE49-F238E27FC236}">
              <a16:creationId xmlns:a16="http://schemas.microsoft.com/office/drawing/2014/main" id="{40FAF453-48C8-476A-8501-CC72F24B298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7" name="Text Box 25">
          <a:extLst>
            <a:ext uri="{FF2B5EF4-FFF2-40B4-BE49-F238E27FC236}">
              <a16:creationId xmlns:a16="http://schemas.microsoft.com/office/drawing/2014/main" id="{777260E2-04F9-4A0B-A52C-8D4CB6388212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8" name="Text Box 26">
          <a:extLst>
            <a:ext uri="{FF2B5EF4-FFF2-40B4-BE49-F238E27FC236}">
              <a16:creationId xmlns:a16="http://schemas.microsoft.com/office/drawing/2014/main" id="{8439C1E3-6339-499C-A2F9-5178CE237F3C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29" name="Text Box 27">
          <a:extLst>
            <a:ext uri="{FF2B5EF4-FFF2-40B4-BE49-F238E27FC236}">
              <a16:creationId xmlns:a16="http://schemas.microsoft.com/office/drawing/2014/main" id="{813736B6-E1CA-49BF-8A58-535374F2F20C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0" name="Text Box 28">
          <a:extLst>
            <a:ext uri="{FF2B5EF4-FFF2-40B4-BE49-F238E27FC236}">
              <a16:creationId xmlns:a16="http://schemas.microsoft.com/office/drawing/2014/main" id="{002AEE82-68DC-448C-9029-820AA27B61C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1" name="Text Box 29">
          <a:extLst>
            <a:ext uri="{FF2B5EF4-FFF2-40B4-BE49-F238E27FC236}">
              <a16:creationId xmlns:a16="http://schemas.microsoft.com/office/drawing/2014/main" id="{B51E1D32-A49D-4AE6-985B-EB052ABAD3A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2" name="Text Box 30">
          <a:extLst>
            <a:ext uri="{FF2B5EF4-FFF2-40B4-BE49-F238E27FC236}">
              <a16:creationId xmlns:a16="http://schemas.microsoft.com/office/drawing/2014/main" id="{44170440-3166-466F-B4E1-F486D3741E5F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3" name="Text Box 31">
          <a:extLst>
            <a:ext uri="{FF2B5EF4-FFF2-40B4-BE49-F238E27FC236}">
              <a16:creationId xmlns:a16="http://schemas.microsoft.com/office/drawing/2014/main" id="{A47A2149-5DF6-48CE-8894-20B729A9EE3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4" name="Text Box 32">
          <a:extLst>
            <a:ext uri="{FF2B5EF4-FFF2-40B4-BE49-F238E27FC236}">
              <a16:creationId xmlns:a16="http://schemas.microsoft.com/office/drawing/2014/main" id="{CA7C8D3F-4C59-4EC8-893A-D723A7EB876F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5" name="Text Box 33">
          <a:extLst>
            <a:ext uri="{FF2B5EF4-FFF2-40B4-BE49-F238E27FC236}">
              <a16:creationId xmlns:a16="http://schemas.microsoft.com/office/drawing/2014/main" id="{B5567F6B-434D-4557-BAE0-D1D244112189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6" name="Text Box 34">
          <a:extLst>
            <a:ext uri="{FF2B5EF4-FFF2-40B4-BE49-F238E27FC236}">
              <a16:creationId xmlns:a16="http://schemas.microsoft.com/office/drawing/2014/main" id="{D9520F2B-377F-43D7-9B6B-CCB08CEF9E6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7" name="Text Box 35">
          <a:extLst>
            <a:ext uri="{FF2B5EF4-FFF2-40B4-BE49-F238E27FC236}">
              <a16:creationId xmlns:a16="http://schemas.microsoft.com/office/drawing/2014/main" id="{DB8486D9-2224-4A97-9C6D-D1C5E207A6A3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8" name="Text Box 36">
          <a:extLst>
            <a:ext uri="{FF2B5EF4-FFF2-40B4-BE49-F238E27FC236}">
              <a16:creationId xmlns:a16="http://schemas.microsoft.com/office/drawing/2014/main" id="{33932E61-3F61-4AC0-A0A6-685870FD85D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39" name="Text Box 37">
          <a:extLst>
            <a:ext uri="{FF2B5EF4-FFF2-40B4-BE49-F238E27FC236}">
              <a16:creationId xmlns:a16="http://schemas.microsoft.com/office/drawing/2014/main" id="{E3734B50-18E2-4C27-9DCB-41E4B04B98BF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0" name="Text Box 38">
          <a:extLst>
            <a:ext uri="{FF2B5EF4-FFF2-40B4-BE49-F238E27FC236}">
              <a16:creationId xmlns:a16="http://schemas.microsoft.com/office/drawing/2014/main" id="{A892342D-AA31-49D4-A6EF-60F8E7F843C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1" name="Text Box 39">
          <a:extLst>
            <a:ext uri="{FF2B5EF4-FFF2-40B4-BE49-F238E27FC236}">
              <a16:creationId xmlns:a16="http://schemas.microsoft.com/office/drawing/2014/main" id="{082CBB55-4173-4818-8A2F-C46BB15CEF79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2" name="Text Box 40">
          <a:extLst>
            <a:ext uri="{FF2B5EF4-FFF2-40B4-BE49-F238E27FC236}">
              <a16:creationId xmlns:a16="http://schemas.microsoft.com/office/drawing/2014/main" id="{F914834C-15F1-403B-9041-9D2D6AFEC4B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3" name="Text Box 41">
          <a:extLst>
            <a:ext uri="{FF2B5EF4-FFF2-40B4-BE49-F238E27FC236}">
              <a16:creationId xmlns:a16="http://schemas.microsoft.com/office/drawing/2014/main" id="{E05C4FA3-80CA-47A1-AD73-60DF40879219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4" name="Text Box 42">
          <a:extLst>
            <a:ext uri="{FF2B5EF4-FFF2-40B4-BE49-F238E27FC236}">
              <a16:creationId xmlns:a16="http://schemas.microsoft.com/office/drawing/2014/main" id="{7BE65173-2027-4C92-A9AF-EBD1FA5C447F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5" name="Text Box 43">
          <a:extLst>
            <a:ext uri="{FF2B5EF4-FFF2-40B4-BE49-F238E27FC236}">
              <a16:creationId xmlns:a16="http://schemas.microsoft.com/office/drawing/2014/main" id="{A0B1A61F-FA75-404F-8586-C42BF743CD86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6" name="Text Box 44">
          <a:extLst>
            <a:ext uri="{FF2B5EF4-FFF2-40B4-BE49-F238E27FC236}">
              <a16:creationId xmlns:a16="http://schemas.microsoft.com/office/drawing/2014/main" id="{CD8EA792-F055-4413-B2B0-9D2D0C819867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7" name="Text Box 45">
          <a:extLst>
            <a:ext uri="{FF2B5EF4-FFF2-40B4-BE49-F238E27FC236}">
              <a16:creationId xmlns:a16="http://schemas.microsoft.com/office/drawing/2014/main" id="{6481F4CB-8780-4D00-9C29-C9CE58B798FE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8" name="Text Box 46">
          <a:extLst>
            <a:ext uri="{FF2B5EF4-FFF2-40B4-BE49-F238E27FC236}">
              <a16:creationId xmlns:a16="http://schemas.microsoft.com/office/drawing/2014/main" id="{8DD70700-7147-4D9F-AADA-721550860BE6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49" name="Text Box 47">
          <a:extLst>
            <a:ext uri="{FF2B5EF4-FFF2-40B4-BE49-F238E27FC236}">
              <a16:creationId xmlns:a16="http://schemas.microsoft.com/office/drawing/2014/main" id="{C9B26FF0-EB7E-418C-A9B0-EE24FBFAEBA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0" name="Text Box 48">
          <a:extLst>
            <a:ext uri="{FF2B5EF4-FFF2-40B4-BE49-F238E27FC236}">
              <a16:creationId xmlns:a16="http://schemas.microsoft.com/office/drawing/2014/main" id="{CF14E849-E472-4EE8-8AAA-5D7F52B26D9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1" name="Text Box 49">
          <a:extLst>
            <a:ext uri="{FF2B5EF4-FFF2-40B4-BE49-F238E27FC236}">
              <a16:creationId xmlns:a16="http://schemas.microsoft.com/office/drawing/2014/main" id="{C205DB75-5FF9-4E24-A632-D11AC07AEC78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2" name="Text Box 50">
          <a:extLst>
            <a:ext uri="{FF2B5EF4-FFF2-40B4-BE49-F238E27FC236}">
              <a16:creationId xmlns:a16="http://schemas.microsoft.com/office/drawing/2014/main" id="{0CC75012-FE13-4821-BFBB-59DA6FDE855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3" name="Text Box 51">
          <a:extLst>
            <a:ext uri="{FF2B5EF4-FFF2-40B4-BE49-F238E27FC236}">
              <a16:creationId xmlns:a16="http://schemas.microsoft.com/office/drawing/2014/main" id="{4BB5F921-0FD6-459C-BA58-93E579BC488D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4" name="Text Box 52">
          <a:extLst>
            <a:ext uri="{FF2B5EF4-FFF2-40B4-BE49-F238E27FC236}">
              <a16:creationId xmlns:a16="http://schemas.microsoft.com/office/drawing/2014/main" id="{04010995-1E3B-474D-9AD1-352F0A8F3D42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589253DD-E40A-40F2-9D7C-EAB45C3F91FE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6" name="Text Box 54">
          <a:extLst>
            <a:ext uri="{FF2B5EF4-FFF2-40B4-BE49-F238E27FC236}">
              <a16:creationId xmlns:a16="http://schemas.microsoft.com/office/drawing/2014/main" id="{56643E86-3CEA-4C0E-878B-3B246057CB8A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7" name="Text Box 55">
          <a:extLst>
            <a:ext uri="{FF2B5EF4-FFF2-40B4-BE49-F238E27FC236}">
              <a16:creationId xmlns:a16="http://schemas.microsoft.com/office/drawing/2014/main" id="{E543D941-715F-40BC-BB40-119FC41C531F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8" name="Text Box 56">
          <a:extLst>
            <a:ext uri="{FF2B5EF4-FFF2-40B4-BE49-F238E27FC236}">
              <a16:creationId xmlns:a16="http://schemas.microsoft.com/office/drawing/2014/main" id="{C9B8A158-A4FF-4904-A669-76C596C31806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59" name="Text Box 57">
          <a:extLst>
            <a:ext uri="{FF2B5EF4-FFF2-40B4-BE49-F238E27FC236}">
              <a16:creationId xmlns:a16="http://schemas.microsoft.com/office/drawing/2014/main" id="{31037FB2-FD86-4D2F-B373-39AB7FF9E10D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0" name="Text Box 58">
          <a:extLst>
            <a:ext uri="{FF2B5EF4-FFF2-40B4-BE49-F238E27FC236}">
              <a16:creationId xmlns:a16="http://schemas.microsoft.com/office/drawing/2014/main" id="{38E39051-7A97-4E2A-872F-41875FDA1F08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1" name="Text Box 59">
          <a:extLst>
            <a:ext uri="{FF2B5EF4-FFF2-40B4-BE49-F238E27FC236}">
              <a16:creationId xmlns:a16="http://schemas.microsoft.com/office/drawing/2014/main" id="{DF90893A-8705-495B-B636-68485096E56F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2" name="Text Box 60">
          <a:extLst>
            <a:ext uri="{FF2B5EF4-FFF2-40B4-BE49-F238E27FC236}">
              <a16:creationId xmlns:a16="http://schemas.microsoft.com/office/drawing/2014/main" id="{F5C884F8-CE8F-4A04-9C18-6503D0350898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3" name="Text Box 61">
          <a:extLst>
            <a:ext uri="{FF2B5EF4-FFF2-40B4-BE49-F238E27FC236}">
              <a16:creationId xmlns:a16="http://schemas.microsoft.com/office/drawing/2014/main" id="{296008F6-A9C6-41C2-B619-59BD8D9C3F7E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4" name="Text Box 62">
          <a:extLst>
            <a:ext uri="{FF2B5EF4-FFF2-40B4-BE49-F238E27FC236}">
              <a16:creationId xmlns:a16="http://schemas.microsoft.com/office/drawing/2014/main" id="{E5F92742-08D9-4C80-9A1F-BE178C82EF63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5" name="Text Box 63">
          <a:extLst>
            <a:ext uri="{FF2B5EF4-FFF2-40B4-BE49-F238E27FC236}">
              <a16:creationId xmlns:a16="http://schemas.microsoft.com/office/drawing/2014/main" id="{9327021C-80F1-41DA-AB15-D1324F3779D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6" name="Text Box 64">
          <a:extLst>
            <a:ext uri="{FF2B5EF4-FFF2-40B4-BE49-F238E27FC236}">
              <a16:creationId xmlns:a16="http://schemas.microsoft.com/office/drawing/2014/main" id="{238B3093-CCBF-48F2-9633-C751FC38D1CD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7" name="Text Box 65">
          <a:extLst>
            <a:ext uri="{FF2B5EF4-FFF2-40B4-BE49-F238E27FC236}">
              <a16:creationId xmlns:a16="http://schemas.microsoft.com/office/drawing/2014/main" id="{CFB1765F-8F58-4B77-B061-DD149F3A9F9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8" name="Text Box 66">
          <a:extLst>
            <a:ext uri="{FF2B5EF4-FFF2-40B4-BE49-F238E27FC236}">
              <a16:creationId xmlns:a16="http://schemas.microsoft.com/office/drawing/2014/main" id="{AA55265E-C8E3-4C2F-8456-B1112671E71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69" name="Text Box 67">
          <a:extLst>
            <a:ext uri="{FF2B5EF4-FFF2-40B4-BE49-F238E27FC236}">
              <a16:creationId xmlns:a16="http://schemas.microsoft.com/office/drawing/2014/main" id="{C5332954-00D1-45F7-BA28-A910EA92167C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0" name="Text Box 68">
          <a:extLst>
            <a:ext uri="{FF2B5EF4-FFF2-40B4-BE49-F238E27FC236}">
              <a16:creationId xmlns:a16="http://schemas.microsoft.com/office/drawing/2014/main" id="{58118BC8-650A-4FB9-9FD8-DCD45F731C8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1" name="Text Box 69">
          <a:extLst>
            <a:ext uri="{FF2B5EF4-FFF2-40B4-BE49-F238E27FC236}">
              <a16:creationId xmlns:a16="http://schemas.microsoft.com/office/drawing/2014/main" id="{0E2B9DBC-8F61-4A11-A6E6-528E4A25436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2" name="Text Box 70">
          <a:extLst>
            <a:ext uri="{FF2B5EF4-FFF2-40B4-BE49-F238E27FC236}">
              <a16:creationId xmlns:a16="http://schemas.microsoft.com/office/drawing/2014/main" id="{A67A75B1-FFEC-4A8D-A284-0213888DD3F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3" name="Text Box 71">
          <a:extLst>
            <a:ext uri="{FF2B5EF4-FFF2-40B4-BE49-F238E27FC236}">
              <a16:creationId xmlns:a16="http://schemas.microsoft.com/office/drawing/2014/main" id="{D33428BE-216E-4825-A55A-F0CDB88FFC1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4" name="Text Box 72">
          <a:extLst>
            <a:ext uri="{FF2B5EF4-FFF2-40B4-BE49-F238E27FC236}">
              <a16:creationId xmlns:a16="http://schemas.microsoft.com/office/drawing/2014/main" id="{0171B553-2053-4F11-AE4C-361AC2AE93DE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5" name="Text Box 73">
          <a:extLst>
            <a:ext uri="{FF2B5EF4-FFF2-40B4-BE49-F238E27FC236}">
              <a16:creationId xmlns:a16="http://schemas.microsoft.com/office/drawing/2014/main" id="{067ECBE2-5FB3-4154-80EF-C4188A440E9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6" name="Text Box 74">
          <a:extLst>
            <a:ext uri="{FF2B5EF4-FFF2-40B4-BE49-F238E27FC236}">
              <a16:creationId xmlns:a16="http://schemas.microsoft.com/office/drawing/2014/main" id="{3A9376AF-76CE-4B0E-AA76-656739A43EA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7" name="Text Box 75">
          <a:extLst>
            <a:ext uri="{FF2B5EF4-FFF2-40B4-BE49-F238E27FC236}">
              <a16:creationId xmlns:a16="http://schemas.microsoft.com/office/drawing/2014/main" id="{ACE21097-7339-487D-9CCD-EA80D0FA1D83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8" name="Text Box 76">
          <a:extLst>
            <a:ext uri="{FF2B5EF4-FFF2-40B4-BE49-F238E27FC236}">
              <a16:creationId xmlns:a16="http://schemas.microsoft.com/office/drawing/2014/main" id="{C22FECF1-6C89-4319-924E-E2726D1C80BC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79" name="Text Box 77">
          <a:extLst>
            <a:ext uri="{FF2B5EF4-FFF2-40B4-BE49-F238E27FC236}">
              <a16:creationId xmlns:a16="http://schemas.microsoft.com/office/drawing/2014/main" id="{81A50ABD-5B11-421E-B00F-478EF76E9EEA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0" name="Text Box 78">
          <a:extLst>
            <a:ext uri="{FF2B5EF4-FFF2-40B4-BE49-F238E27FC236}">
              <a16:creationId xmlns:a16="http://schemas.microsoft.com/office/drawing/2014/main" id="{57C0814D-3445-4BCB-B200-198E8B9772E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1" name="Text Box 79">
          <a:extLst>
            <a:ext uri="{FF2B5EF4-FFF2-40B4-BE49-F238E27FC236}">
              <a16:creationId xmlns:a16="http://schemas.microsoft.com/office/drawing/2014/main" id="{939D10A5-ABFF-4A6B-A500-8A946074935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2" name="Text Box 80">
          <a:extLst>
            <a:ext uri="{FF2B5EF4-FFF2-40B4-BE49-F238E27FC236}">
              <a16:creationId xmlns:a16="http://schemas.microsoft.com/office/drawing/2014/main" id="{A83B232F-32CE-4ED9-8D98-9855D97551A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3" name="Text Box 81">
          <a:extLst>
            <a:ext uri="{FF2B5EF4-FFF2-40B4-BE49-F238E27FC236}">
              <a16:creationId xmlns:a16="http://schemas.microsoft.com/office/drawing/2014/main" id="{EBEBC09A-8F82-4814-9B71-44C23A220C6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4" name="Text Box 82">
          <a:extLst>
            <a:ext uri="{FF2B5EF4-FFF2-40B4-BE49-F238E27FC236}">
              <a16:creationId xmlns:a16="http://schemas.microsoft.com/office/drawing/2014/main" id="{F4DB5DB4-DE1F-4A70-BFBC-09F6C11BD63A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5" name="Text Box 83">
          <a:extLst>
            <a:ext uri="{FF2B5EF4-FFF2-40B4-BE49-F238E27FC236}">
              <a16:creationId xmlns:a16="http://schemas.microsoft.com/office/drawing/2014/main" id="{83924C75-EA13-4EC8-9865-F1418014632A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6" name="Text Box 84">
          <a:extLst>
            <a:ext uri="{FF2B5EF4-FFF2-40B4-BE49-F238E27FC236}">
              <a16:creationId xmlns:a16="http://schemas.microsoft.com/office/drawing/2014/main" id="{1D1A4B5E-E2D8-4CA8-ADB1-979028367CF7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7" name="Text Box 85">
          <a:extLst>
            <a:ext uri="{FF2B5EF4-FFF2-40B4-BE49-F238E27FC236}">
              <a16:creationId xmlns:a16="http://schemas.microsoft.com/office/drawing/2014/main" id="{B46E8478-181A-4882-816F-FDF456CD649A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8" name="Text Box 86">
          <a:extLst>
            <a:ext uri="{FF2B5EF4-FFF2-40B4-BE49-F238E27FC236}">
              <a16:creationId xmlns:a16="http://schemas.microsoft.com/office/drawing/2014/main" id="{00AF9D91-7D04-4476-9F39-BA2127ACC155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89" name="Text Box 87">
          <a:extLst>
            <a:ext uri="{FF2B5EF4-FFF2-40B4-BE49-F238E27FC236}">
              <a16:creationId xmlns:a16="http://schemas.microsoft.com/office/drawing/2014/main" id="{7711D22F-B32C-496F-84A2-D78B9333A5B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0" name="Text Box 88">
          <a:extLst>
            <a:ext uri="{FF2B5EF4-FFF2-40B4-BE49-F238E27FC236}">
              <a16:creationId xmlns:a16="http://schemas.microsoft.com/office/drawing/2014/main" id="{3B59528B-2D48-477B-BFCE-0EFDF089EFA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1" name="Text Box 89">
          <a:extLst>
            <a:ext uri="{FF2B5EF4-FFF2-40B4-BE49-F238E27FC236}">
              <a16:creationId xmlns:a16="http://schemas.microsoft.com/office/drawing/2014/main" id="{551A3D8C-EA26-4CEE-9909-995430A0D02C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2" name="Text Box 90">
          <a:extLst>
            <a:ext uri="{FF2B5EF4-FFF2-40B4-BE49-F238E27FC236}">
              <a16:creationId xmlns:a16="http://schemas.microsoft.com/office/drawing/2014/main" id="{B228C927-102D-4B21-8CA0-9D00B7F598D7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3" name="Text Box 91">
          <a:extLst>
            <a:ext uri="{FF2B5EF4-FFF2-40B4-BE49-F238E27FC236}">
              <a16:creationId xmlns:a16="http://schemas.microsoft.com/office/drawing/2014/main" id="{5EE86A04-32A3-4185-B373-E5521158EE9E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4" name="Text Box 92">
          <a:extLst>
            <a:ext uri="{FF2B5EF4-FFF2-40B4-BE49-F238E27FC236}">
              <a16:creationId xmlns:a16="http://schemas.microsoft.com/office/drawing/2014/main" id="{D4A1D68B-575F-4D74-8EC5-C45514FF8222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5" name="Text Box 93">
          <a:extLst>
            <a:ext uri="{FF2B5EF4-FFF2-40B4-BE49-F238E27FC236}">
              <a16:creationId xmlns:a16="http://schemas.microsoft.com/office/drawing/2014/main" id="{AA5D4A7D-05D7-45DC-B5FD-064A2AF35F7C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6" name="Text Box 94">
          <a:extLst>
            <a:ext uri="{FF2B5EF4-FFF2-40B4-BE49-F238E27FC236}">
              <a16:creationId xmlns:a16="http://schemas.microsoft.com/office/drawing/2014/main" id="{D07FCF4C-0972-4729-BB8B-271451E71F7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7" name="Text Box 95">
          <a:extLst>
            <a:ext uri="{FF2B5EF4-FFF2-40B4-BE49-F238E27FC236}">
              <a16:creationId xmlns:a16="http://schemas.microsoft.com/office/drawing/2014/main" id="{872DA299-6FAC-4CD8-8814-A7859D4ABF1A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8" name="Text Box 96">
          <a:extLst>
            <a:ext uri="{FF2B5EF4-FFF2-40B4-BE49-F238E27FC236}">
              <a16:creationId xmlns:a16="http://schemas.microsoft.com/office/drawing/2014/main" id="{8FB0C114-D8FD-4AEE-8321-BC9A3769B159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99" name="Text Box 97">
          <a:extLst>
            <a:ext uri="{FF2B5EF4-FFF2-40B4-BE49-F238E27FC236}">
              <a16:creationId xmlns:a16="http://schemas.microsoft.com/office/drawing/2014/main" id="{B19AAA05-2F57-4BAE-A53F-A8CE04E879EE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0" name="Text Box 98">
          <a:extLst>
            <a:ext uri="{FF2B5EF4-FFF2-40B4-BE49-F238E27FC236}">
              <a16:creationId xmlns:a16="http://schemas.microsoft.com/office/drawing/2014/main" id="{B71D79A2-EAB4-456F-ADE6-E8654C4ECF9D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1" name="Text Box 99">
          <a:extLst>
            <a:ext uri="{FF2B5EF4-FFF2-40B4-BE49-F238E27FC236}">
              <a16:creationId xmlns:a16="http://schemas.microsoft.com/office/drawing/2014/main" id="{9805B174-96F0-4AC5-BA83-22A2BFACE117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2" name="Text Box 100">
          <a:extLst>
            <a:ext uri="{FF2B5EF4-FFF2-40B4-BE49-F238E27FC236}">
              <a16:creationId xmlns:a16="http://schemas.microsoft.com/office/drawing/2014/main" id="{FC23F8C5-6D5F-4CB6-A868-3DC775B2FFA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3" name="Text Box 101">
          <a:extLst>
            <a:ext uri="{FF2B5EF4-FFF2-40B4-BE49-F238E27FC236}">
              <a16:creationId xmlns:a16="http://schemas.microsoft.com/office/drawing/2014/main" id="{02708034-8552-47B4-9A77-77AB53C625A5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4" name="Text Box 102">
          <a:extLst>
            <a:ext uri="{FF2B5EF4-FFF2-40B4-BE49-F238E27FC236}">
              <a16:creationId xmlns:a16="http://schemas.microsoft.com/office/drawing/2014/main" id="{63CB938E-9594-4D1E-AF35-6CFB0714660E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5" name="Text Box 103">
          <a:extLst>
            <a:ext uri="{FF2B5EF4-FFF2-40B4-BE49-F238E27FC236}">
              <a16:creationId xmlns:a16="http://schemas.microsoft.com/office/drawing/2014/main" id="{6D5F5CDE-ACD6-44E0-A5AB-F8C9531758F4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6" name="Text Box 104">
          <a:extLst>
            <a:ext uri="{FF2B5EF4-FFF2-40B4-BE49-F238E27FC236}">
              <a16:creationId xmlns:a16="http://schemas.microsoft.com/office/drawing/2014/main" id="{2D430C33-541B-4805-A72C-D22D32EF790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7" name="Text Box 105">
          <a:extLst>
            <a:ext uri="{FF2B5EF4-FFF2-40B4-BE49-F238E27FC236}">
              <a16:creationId xmlns:a16="http://schemas.microsoft.com/office/drawing/2014/main" id="{30E4D481-E205-465A-B08A-34B55D5FF210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8" name="Text Box 106">
          <a:extLst>
            <a:ext uri="{FF2B5EF4-FFF2-40B4-BE49-F238E27FC236}">
              <a16:creationId xmlns:a16="http://schemas.microsoft.com/office/drawing/2014/main" id="{5A11566C-499D-4996-905B-F2DFBCE08B82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09" name="Text Box 107">
          <a:extLst>
            <a:ext uri="{FF2B5EF4-FFF2-40B4-BE49-F238E27FC236}">
              <a16:creationId xmlns:a16="http://schemas.microsoft.com/office/drawing/2014/main" id="{F60766D6-C234-4050-8A09-832E206AA0CB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10" name="Text Box 108">
          <a:extLst>
            <a:ext uri="{FF2B5EF4-FFF2-40B4-BE49-F238E27FC236}">
              <a16:creationId xmlns:a16="http://schemas.microsoft.com/office/drawing/2014/main" id="{980FE589-8CD6-4595-9443-3EA56A9A55B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>
    <xdr:from>
      <xdr:col>3</xdr:col>
      <xdr:colOff>130175</xdr:colOff>
      <xdr:row>3</xdr:row>
      <xdr:rowOff>0</xdr:rowOff>
    </xdr:from>
    <xdr:to>
      <xdr:col>3</xdr:col>
      <xdr:colOff>457255</xdr:colOff>
      <xdr:row>3</xdr:row>
      <xdr:rowOff>0</xdr:rowOff>
    </xdr:to>
    <xdr:sp macro="" textlink="">
      <xdr:nvSpPr>
        <xdr:cNvPr id="111" name="Text Box 109">
          <a:extLst>
            <a:ext uri="{FF2B5EF4-FFF2-40B4-BE49-F238E27FC236}">
              <a16:creationId xmlns:a16="http://schemas.microsoft.com/office/drawing/2014/main" id="{16DDC9E8-D224-4B4A-B4FD-DA4DF49D9B21}"/>
            </a:ext>
          </a:extLst>
        </xdr:cNvPr>
        <xdr:cNvSpPr txBox="1">
          <a:spLocks noChangeArrowheads="1"/>
        </xdr:cNvSpPr>
      </xdr:nvSpPr>
      <xdr:spPr bwMode="auto">
        <a:xfrm>
          <a:off x="3082925" y="704850"/>
          <a:ext cx="3711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HY그래픽M"/>
              <a:ea typeface="HY그래픽M"/>
            </a:rPr>
            <a:t>공 급 자</a:t>
          </a:r>
        </a:p>
      </xdr:txBody>
    </xdr:sp>
    <xdr:clientData/>
  </xdr:twoCellAnchor>
  <xdr:twoCellAnchor editAs="oneCell">
    <xdr:from>
      <xdr:col>0</xdr:col>
      <xdr:colOff>44450</xdr:colOff>
      <xdr:row>1</xdr:row>
      <xdr:rowOff>25400</xdr:rowOff>
    </xdr:from>
    <xdr:to>
      <xdr:col>1</xdr:col>
      <xdr:colOff>1315511</xdr:colOff>
      <xdr:row>2</xdr:row>
      <xdr:rowOff>228600</xdr:rowOff>
    </xdr:to>
    <xdr:pic>
      <xdr:nvPicPr>
        <xdr:cNvPr id="43785" name="그림 1">
          <a:extLst>
            <a:ext uri="{FF2B5EF4-FFF2-40B4-BE49-F238E27FC236}">
              <a16:creationId xmlns:a16="http://schemas.microsoft.com/office/drawing/2014/main" id="{42AE131C-25E3-4B1B-866C-281C10DF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" y="215900"/>
          <a:ext cx="17208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tabSelected="1" view="pageBreakPreview" zoomScale="120" zoomScaleNormal="100" zoomScaleSheetLayoutView="120" workbookViewId="0">
      <selection activeCell="B19" sqref="B19:C19"/>
    </sheetView>
  </sheetViews>
  <sheetFormatPr defaultColWidth="8.75" defaultRowHeight="14" x14ac:dyDescent="0.25"/>
  <cols>
    <col min="1" max="1" width="5.75" style="1" customWidth="1"/>
    <col min="2" max="2" width="17.5" style="1" customWidth="1"/>
    <col min="3" max="3" width="10.9140625" style="1" customWidth="1"/>
    <col min="4" max="4" width="12.75" style="1" customWidth="1"/>
    <col min="5" max="5" width="7.33203125" style="1" customWidth="1"/>
    <col min="6" max="6" width="3.1640625" style="1" customWidth="1"/>
    <col min="7" max="7" width="13.33203125" style="1" customWidth="1"/>
    <col min="8" max="8" width="12.75" style="1" customWidth="1"/>
    <col min="9" max="9" width="12.4140625" style="5" bestFit="1" customWidth="1"/>
    <col min="10" max="10" width="12.4140625" style="4" bestFit="1" customWidth="1"/>
    <col min="11" max="16384" width="8.75" style="1"/>
  </cols>
  <sheetData>
    <row r="1" spans="1:10" ht="15" customHeight="1" x14ac:dyDescent="0.25">
      <c r="A1" s="37"/>
      <c r="B1" s="37"/>
      <c r="C1" s="37"/>
      <c r="D1" s="37"/>
      <c r="E1" s="37"/>
      <c r="F1" s="37"/>
      <c r="G1" s="37"/>
      <c r="H1" s="37"/>
    </row>
    <row r="2" spans="1:10" ht="20.25" customHeight="1" x14ac:dyDescent="0.25">
      <c r="A2" s="9"/>
      <c r="B2" s="9"/>
      <c r="C2" s="38" t="s">
        <v>14</v>
      </c>
      <c r="D2" s="39"/>
      <c r="E2" s="39"/>
      <c r="F2" s="10"/>
      <c r="G2" s="40" t="s">
        <v>25</v>
      </c>
      <c r="H2" s="40"/>
    </row>
    <row r="3" spans="1:10" ht="20.25" customHeight="1" x14ac:dyDescent="0.25">
      <c r="A3" s="3"/>
      <c r="B3" s="3"/>
      <c r="C3" s="39"/>
      <c r="D3" s="39"/>
      <c r="E3" s="39"/>
      <c r="F3" s="10"/>
      <c r="G3" s="41" t="s">
        <v>22</v>
      </c>
      <c r="H3" s="41"/>
    </row>
    <row r="4" spans="1:10" ht="20.25" customHeight="1" x14ac:dyDescent="0.25">
      <c r="A4" s="42" t="s">
        <v>12</v>
      </c>
      <c r="B4" s="42"/>
      <c r="C4" s="39"/>
      <c r="D4" s="39"/>
      <c r="E4" s="39"/>
      <c r="F4" s="10"/>
      <c r="G4" s="41" t="s">
        <v>26</v>
      </c>
      <c r="H4" s="41"/>
    </row>
    <row r="5" spans="1:10" ht="23.25" customHeight="1" x14ac:dyDescent="0.25">
      <c r="A5" s="2"/>
      <c r="B5" s="2"/>
      <c r="C5" s="2"/>
      <c r="D5" s="2"/>
      <c r="E5" s="2"/>
      <c r="F5" s="2"/>
      <c r="G5" s="2"/>
      <c r="H5" s="2"/>
      <c r="J5" s="6"/>
    </row>
    <row r="6" spans="1:10" ht="29.25" customHeight="1" x14ac:dyDescent="0.25">
      <c r="A6" s="55" t="s">
        <v>17</v>
      </c>
      <c r="B6" s="43"/>
      <c r="C6" s="43" t="s">
        <v>19</v>
      </c>
      <c r="D6" s="43"/>
      <c r="E6" s="43"/>
      <c r="F6" s="43"/>
      <c r="G6" s="43"/>
      <c r="H6" s="44"/>
      <c r="J6" s="6"/>
    </row>
    <row r="7" spans="1:10" ht="29.25" customHeight="1" x14ac:dyDescent="0.25">
      <c r="A7" s="55" t="s">
        <v>18</v>
      </c>
      <c r="B7" s="43"/>
      <c r="C7" s="43" t="s">
        <v>15</v>
      </c>
      <c r="D7" s="43"/>
      <c r="E7" s="43"/>
      <c r="F7" s="43" t="s">
        <v>16</v>
      </c>
      <c r="G7" s="43"/>
      <c r="H7" s="44"/>
      <c r="J7" s="6"/>
    </row>
    <row r="8" spans="1:10" ht="30" customHeight="1" x14ac:dyDescent="0.25">
      <c r="A8" s="47" t="s">
        <v>20</v>
      </c>
      <c r="B8" s="48"/>
      <c r="C8" s="48"/>
      <c r="D8" s="48"/>
      <c r="E8" s="48"/>
      <c r="F8" s="48"/>
      <c r="G8" s="48"/>
      <c r="H8" s="49"/>
    </row>
    <row r="9" spans="1:10" ht="6.75" customHeight="1" x14ac:dyDescent="0.25">
      <c r="A9" s="50"/>
      <c r="B9" s="50"/>
      <c r="C9" s="50"/>
      <c r="D9" s="50"/>
      <c r="E9" s="50"/>
      <c r="F9" s="50"/>
      <c r="G9" s="50"/>
      <c r="H9" s="50"/>
    </row>
    <row r="10" spans="1:10" x14ac:dyDescent="0.25">
      <c r="A10" s="51"/>
      <c r="B10" s="51"/>
      <c r="C10" s="51"/>
      <c r="D10" s="51"/>
      <c r="E10" s="51"/>
      <c r="F10" s="51"/>
      <c r="G10" s="51"/>
      <c r="H10" s="51"/>
    </row>
    <row r="11" spans="1:10" ht="6.75" customHeight="1" thickBot="1" x14ac:dyDescent="0.3">
      <c r="A11" s="2"/>
      <c r="B11" s="2"/>
      <c r="C11" s="2"/>
      <c r="D11" s="2"/>
      <c r="E11" s="2"/>
      <c r="F11" s="2"/>
      <c r="G11" s="2"/>
      <c r="H11" s="2"/>
    </row>
    <row r="12" spans="1:10" s="13" customFormat="1" ht="24.75" customHeight="1" thickBot="1" x14ac:dyDescent="0.2">
      <c r="A12" s="24" t="s">
        <v>8</v>
      </c>
      <c r="B12" s="25" t="s">
        <v>3</v>
      </c>
      <c r="C12" s="52">
        <f>F30</f>
        <v>1204500</v>
      </c>
      <c r="D12" s="52"/>
      <c r="E12" s="35" t="s">
        <v>11</v>
      </c>
      <c r="F12" s="53">
        <f>F30</f>
        <v>1204500</v>
      </c>
      <c r="G12" s="53"/>
      <c r="H12" s="54"/>
      <c r="I12" s="19"/>
    </row>
    <row r="13" spans="1:10" s="13" customFormat="1" ht="24.75" customHeight="1" thickBot="1" x14ac:dyDescent="0.2">
      <c r="A13" s="45" t="s">
        <v>5</v>
      </c>
      <c r="B13" s="46"/>
      <c r="C13" s="46"/>
      <c r="D13" s="20" t="s">
        <v>4</v>
      </c>
      <c r="E13" s="20" t="s">
        <v>21</v>
      </c>
      <c r="F13" s="46" t="s">
        <v>6</v>
      </c>
      <c r="G13" s="46"/>
      <c r="H13" s="21" t="s">
        <v>7</v>
      </c>
      <c r="J13" s="14"/>
    </row>
    <row r="14" spans="1:10" ht="20.25" customHeight="1" x14ac:dyDescent="0.25">
      <c r="A14" s="22">
        <v>1</v>
      </c>
      <c r="B14" s="56" t="s">
        <v>23</v>
      </c>
      <c r="C14" s="56"/>
      <c r="D14" s="36">
        <v>3000</v>
      </c>
      <c r="E14" s="26">
        <v>365</v>
      </c>
      <c r="F14" s="57">
        <f>D14*E14</f>
        <v>1095000</v>
      </c>
      <c r="G14" s="57"/>
      <c r="H14" s="23"/>
      <c r="I14" s="12"/>
    </row>
    <row r="15" spans="1:10" ht="20.25" customHeight="1" x14ac:dyDescent="0.25">
      <c r="A15" s="22"/>
      <c r="B15" s="58" t="s">
        <v>13</v>
      </c>
      <c r="C15" s="59"/>
      <c r="D15" s="36"/>
      <c r="E15" s="26"/>
      <c r="F15" s="62"/>
      <c r="G15" s="63"/>
      <c r="H15" s="23"/>
      <c r="I15" s="12"/>
    </row>
    <row r="16" spans="1:10" ht="20.25" customHeight="1" x14ac:dyDescent="0.25">
      <c r="A16" s="22"/>
      <c r="D16" s="36"/>
      <c r="E16" s="26"/>
      <c r="F16" s="57"/>
      <c r="G16" s="57"/>
      <c r="H16" s="23"/>
      <c r="I16" s="12"/>
    </row>
    <row r="17" spans="1:9" ht="20.25" customHeight="1" x14ac:dyDescent="0.25">
      <c r="A17" s="22"/>
      <c r="B17" s="60"/>
      <c r="C17" s="61"/>
      <c r="D17" s="36"/>
      <c r="E17" s="26"/>
      <c r="F17" s="57"/>
      <c r="G17" s="57"/>
      <c r="H17" s="23"/>
      <c r="I17" s="12"/>
    </row>
    <row r="18" spans="1:9" ht="20.25" customHeight="1" x14ac:dyDescent="0.25">
      <c r="A18" s="22"/>
      <c r="B18" s="58"/>
      <c r="C18" s="59"/>
      <c r="D18" s="34"/>
      <c r="E18" s="26"/>
      <c r="F18" s="57"/>
      <c r="G18" s="57"/>
      <c r="H18" s="23"/>
      <c r="I18" s="12"/>
    </row>
    <row r="19" spans="1:9" ht="20.25" customHeight="1" x14ac:dyDescent="0.25">
      <c r="A19" s="22"/>
      <c r="B19" s="56"/>
      <c r="C19" s="56"/>
      <c r="D19" s="34"/>
      <c r="E19" s="26"/>
      <c r="F19" s="57"/>
      <c r="G19" s="57"/>
      <c r="H19" s="23"/>
      <c r="I19" s="12"/>
    </row>
    <row r="20" spans="1:9" ht="20.25" customHeight="1" x14ac:dyDescent="0.25">
      <c r="A20" s="22"/>
      <c r="B20" s="56"/>
      <c r="C20" s="56"/>
      <c r="D20" s="34"/>
      <c r="E20" s="26"/>
      <c r="F20" s="57"/>
      <c r="G20" s="57"/>
      <c r="H20" s="23"/>
      <c r="I20" s="12"/>
    </row>
    <row r="21" spans="1:9" ht="20.25" customHeight="1" x14ac:dyDescent="0.25">
      <c r="A21" s="22"/>
      <c r="B21" s="56"/>
      <c r="C21" s="56"/>
      <c r="D21" s="34"/>
      <c r="E21" s="26"/>
      <c r="F21" s="57"/>
      <c r="G21" s="57"/>
      <c r="H21" s="23"/>
      <c r="I21" s="12"/>
    </row>
    <row r="22" spans="1:9" ht="20.25" customHeight="1" x14ac:dyDescent="0.25">
      <c r="A22" s="22"/>
      <c r="B22" s="83"/>
      <c r="C22" s="84"/>
      <c r="D22" s="34"/>
      <c r="E22" s="26"/>
      <c r="F22" s="57"/>
      <c r="G22" s="57"/>
      <c r="H22" s="23"/>
      <c r="I22" s="12"/>
    </row>
    <row r="23" spans="1:9" ht="20.25" customHeight="1" x14ac:dyDescent="0.25">
      <c r="A23" s="22"/>
      <c r="B23" s="82"/>
      <c r="C23" s="56"/>
      <c r="D23" s="34"/>
      <c r="E23" s="26"/>
      <c r="F23" s="57"/>
      <c r="G23" s="57"/>
      <c r="H23" s="23"/>
      <c r="I23" s="12"/>
    </row>
    <row r="24" spans="1:9" ht="20.25" customHeight="1" x14ac:dyDescent="0.25">
      <c r="A24" s="22"/>
      <c r="B24" s="82"/>
      <c r="C24" s="56"/>
      <c r="D24" s="34"/>
      <c r="E24" s="26"/>
      <c r="F24" s="57"/>
      <c r="G24" s="57"/>
      <c r="H24" s="23"/>
      <c r="I24" s="12"/>
    </row>
    <row r="25" spans="1:9" ht="20.25" customHeight="1" x14ac:dyDescent="0.25">
      <c r="A25" s="22"/>
      <c r="B25" s="59"/>
      <c r="C25" s="59"/>
      <c r="D25" s="34"/>
      <c r="E25" s="26"/>
      <c r="F25" s="57"/>
      <c r="G25" s="57"/>
      <c r="H25" s="23"/>
      <c r="I25" s="12"/>
    </row>
    <row r="26" spans="1:9" ht="20.25" customHeight="1" x14ac:dyDescent="0.25">
      <c r="A26" s="15"/>
      <c r="B26" s="66"/>
      <c r="C26" s="66"/>
      <c r="D26" s="8"/>
      <c r="E26" s="7"/>
      <c r="F26" s="67"/>
      <c r="G26" s="67"/>
      <c r="H26" s="11"/>
      <c r="I26" s="12"/>
    </row>
    <row r="27" spans="1:9" ht="20.25" customHeight="1" thickBot="1" x14ac:dyDescent="0.3">
      <c r="A27" s="15"/>
      <c r="B27" s="66"/>
      <c r="C27" s="66"/>
      <c r="D27" s="8"/>
      <c r="E27" s="7"/>
      <c r="F27" s="67"/>
      <c r="G27" s="67"/>
      <c r="H27" s="11"/>
      <c r="I27" s="12"/>
    </row>
    <row r="28" spans="1:9" s="13" customFormat="1" ht="27.75" customHeight="1" thickBot="1" x14ac:dyDescent="0.2">
      <c r="A28" s="68" t="s">
        <v>1</v>
      </c>
      <c r="B28" s="69"/>
      <c r="C28" s="69"/>
      <c r="D28" s="27"/>
      <c r="E28" s="28"/>
      <c r="F28" s="70">
        <f>SUM(F14:G27)</f>
        <v>1095000</v>
      </c>
      <c r="G28" s="71"/>
      <c r="H28" s="33"/>
    </row>
    <row r="29" spans="1:9" s="13" customFormat="1" ht="27.75" customHeight="1" thickBot="1" x14ac:dyDescent="0.2">
      <c r="A29" s="68" t="s">
        <v>9</v>
      </c>
      <c r="B29" s="69"/>
      <c r="C29" s="69"/>
      <c r="D29" s="27"/>
      <c r="E29" s="28"/>
      <c r="F29" s="70">
        <f>F28*0.1</f>
        <v>109500</v>
      </c>
      <c r="G29" s="71"/>
      <c r="H29" s="29"/>
    </row>
    <row r="30" spans="1:9" s="13" customFormat="1" ht="27.75" customHeight="1" thickBot="1" x14ac:dyDescent="0.2">
      <c r="A30" s="72" t="s">
        <v>2</v>
      </c>
      <c r="B30" s="73"/>
      <c r="C30" s="73"/>
      <c r="D30" s="30"/>
      <c r="E30" s="31"/>
      <c r="F30" s="74">
        <f>F28+F29</f>
        <v>1204500</v>
      </c>
      <c r="G30" s="75"/>
      <c r="H30" s="32"/>
    </row>
    <row r="31" spans="1:9" s="1" customFormat="1" ht="23.25" customHeight="1" x14ac:dyDescent="0.25">
      <c r="A31" s="76" t="s">
        <v>0</v>
      </c>
      <c r="B31" s="78" t="s">
        <v>24</v>
      </c>
      <c r="C31" s="79"/>
      <c r="D31" s="79"/>
      <c r="E31" s="79"/>
      <c r="F31" s="79"/>
      <c r="G31" s="79"/>
      <c r="H31" s="79"/>
    </row>
    <row r="32" spans="1:9" s="2" customFormat="1" ht="19.75" customHeight="1" x14ac:dyDescent="0.25">
      <c r="A32" s="77"/>
      <c r="B32" s="80"/>
      <c r="C32" s="81"/>
      <c r="D32" s="81"/>
      <c r="E32" s="81"/>
      <c r="F32" s="81"/>
      <c r="G32" s="81"/>
      <c r="H32" s="81"/>
    </row>
    <row r="33" spans="1:12" ht="23.25" customHeight="1" x14ac:dyDescent="0.25">
      <c r="A33" s="77"/>
      <c r="B33" s="80"/>
      <c r="C33" s="81"/>
      <c r="D33" s="81"/>
      <c r="E33" s="81"/>
      <c r="F33" s="81"/>
      <c r="G33" s="81"/>
      <c r="H33" s="81"/>
      <c r="I33" s="1"/>
      <c r="J33" s="1"/>
    </row>
    <row r="34" spans="1:12" ht="23.25" customHeight="1" x14ac:dyDescent="0.25">
      <c r="A34" s="77"/>
      <c r="B34" s="80"/>
      <c r="C34" s="81"/>
      <c r="D34" s="81"/>
      <c r="E34" s="81"/>
      <c r="F34" s="81"/>
      <c r="G34" s="81"/>
      <c r="H34" s="81"/>
      <c r="I34" s="1"/>
      <c r="J34" s="1"/>
    </row>
    <row r="35" spans="1:12" s="16" customFormat="1" ht="17" thickBot="1" x14ac:dyDescent="0.3">
      <c r="A35" s="64" t="s">
        <v>10</v>
      </c>
      <c r="B35" s="65"/>
      <c r="C35" s="65"/>
      <c r="D35" s="65"/>
      <c r="E35" s="65"/>
      <c r="F35" s="65"/>
      <c r="G35" s="65"/>
      <c r="H35" s="65"/>
      <c r="I35" s="18"/>
      <c r="J35" s="18"/>
      <c r="L35" s="17"/>
    </row>
    <row r="36" spans="1:12" x14ac:dyDescent="0.25">
      <c r="A36" s="50"/>
      <c r="B36" s="50"/>
      <c r="C36" s="50"/>
      <c r="D36" s="50"/>
      <c r="E36" s="50"/>
      <c r="F36" s="50"/>
      <c r="G36" s="50"/>
      <c r="H36" s="50"/>
    </row>
    <row r="37" spans="1:12" x14ac:dyDescent="0.25">
      <c r="A37" s="2"/>
      <c r="B37" s="2"/>
      <c r="C37" s="2"/>
      <c r="D37" s="2"/>
      <c r="E37" s="2"/>
      <c r="F37" s="2"/>
      <c r="G37" s="2"/>
      <c r="H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</sheetData>
  <mergeCells count="55">
    <mergeCell ref="B25:C25"/>
    <mergeCell ref="F25:G25"/>
    <mergeCell ref="B26:C26"/>
    <mergeCell ref="F26:G26"/>
    <mergeCell ref="F22:G22"/>
    <mergeCell ref="B23:C23"/>
    <mergeCell ref="F23:G23"/>
    <mergeCell ref="B24:C24"/>
    <mergeCell ref="F24:G24"/>
    <mergeCell ref="B22:C22"/>
    <mergeCell ref="A35:H35"/>
    <mergeCell ref="A36:H36"/>
    <mergeCell ref="B27:C27"/>
    <mergeCell ref="F27:G27"/>
    <mergeCell ref="A28:C28"/>
    <mergeCell ref="F28:G28"/>
    <mergeCell ref="A29:C29"/>
    <mergeCell ref="F29:G29"/>
    <mergeCell ref="A30:C30"/>
    <mergeCell ref="F30:G30"/>
    <mergeCell ref="A31:A34"/>
    <mergeCell ref="B31:H34"/>
    <mergeCell ref="B19:C19"/>
    <mergeCell ref="F19:G19"/>
    <mergeCell ref="B20:C20"/>
    <mergeCell ref="F20:G20"/>
    <mergeCell ref="B21:C21"/>
    <mergeCell ref="F21:G21"/>
    <mergeCell ref="B14:C14"/>
    <mergeCell ref="F14:G14"/>
    <mergeCell ref="F16:G16"/>
    <mergeCell ref="F17:G17"/>
    <mergeCell ref="B18:C18"/>
    <mergeCell ref="F18:G18"/>
    <mergeCell ref="B17:C17"/>
    <mergeCell ref="F15:G15"/>
    <mergeCell ref="B15:C15"/>
    <mergeCell ref="C6:H6"/>
    <mergeCell ref="C7:E7"/>
    <mergeCell ref="F7:H7"/>
    <mergeCell ref="A13:C13"/>
    <mergeCell ref="F13:G13"/>
    <mergeCell ref="A8:H8"/>
    <mergeCell ref="A9:H9"/>
    <mergeCell ref="A10:H10"/>
    <mergeCell ref="C12:D12"/>
    <mergeCell ref="F12:H12"/>
    <mergeCell ref="A6:B6"/>
    <mergeCell ref="A7:B7"/>
    <mergeCell ref="A1:H1"/>
    <mergeCell ref="C2:E4"/>
    <mergeCell ref="G2:H2"/>
    <mergeCell ref="G3:H3"/>
    <mergeCell ref="A4:B4"/>
    <mergeCell ref="G4:H4"/>
  </mergeCells>
  <phoneticPr fontId="2" type="noConversion"/>
  <printOptions horizontalCentered="1" verticalCentered="1"/>
  <pageMargins left="0.35433070866141736" right="0.35433070866141736" top="0.39370078740157483" bottom="0.39370078740157483" header="0.51181102362204722" footer="0.51181102362204722"/>
  <pageSetup paperSize="9" orientation="portrait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영호짱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영호짱</dc:creator>
  <cp:lastModifiedBy>동훈 이</cp:lastModifiedBy>
  <cp:lastPrinted>2024-01-02T08:22:17Z</cp:lastPrinted>
  <dcterms:created xsi:type="dcterms:W3CDTF">2003-10-28T05:39:43Z</dcterms:created>
  <dcterms:modified xsi:type="dcterms:W3CDTF">2026-10-15T01:13:21Z</dcterms:modified>
</cp:coreProperties>
</file>