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epo\Python\GUI_STUDY\11\Doc\"/>
    </mc:Choice>
  </mc:AlternateContent>
  <xr:revisionPtr revIDLastSave="0" documentId="13_ncr:1_{B5470F43-F8E6-4A7A-9B40-FE7FC0BD9221}" xr6:coauthVersionLast="47" xr6:coauthVersionMax="47" xr10:uidLastSave="{00000000-0000-0000-0000-000000000000}"/>
  <bookViews>
    <workbookView xWindow="33471" yWindow="2083" windowWidth="17795" windowHeight="15617" xr2:uid="{00000000-000D-0000-FFFF-FFFF00000000}"/>
  </bookViews>
  <sheets>
    <sheet name="견적서" sheetId="27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27" l="1"/>
  <c r="G29" i="27" l="1"/>
  <c r="G30" i="27" s="1"/>
  <c r="G31" i="27" l="1"/>
  <c r="C11" i="27" s="1"/>
  <c r="G11" i="27" l="1"/>
</calcChain>
</file>

<file path=xl/sharedStrings.xml><?xml version="1.0" encoding="utf-8"?>
<sst xmlns="http://schemas.openxmlformats.org/spreadsheetml/2006/main" count="20" uniqueCount="20">
  <si>
    <t>REMARK</t>
    <phoneticPr fontId="2" type="noConversion"/>
  </si>
  <si>
    <t>소계 / SUB TOTAL</t>
    <phoneticPr fontId="2" type="noConversion"/>
  </si>
  <si>
    <t>합계 / TOTAL</t>
    <phoneticPr fontId="2" type="noConversion"/>
  </si>
  <si>
    <t>일금</t>
    <phoneticPr fontId="2" type="noConversion"/>
  </si>
  <si>
    <t>수량/Q'TY</t>
    <phoneticPr fontId="2" type="noConversion"/>
  </si>
  <si>
    <t>내용/DESCRIPTIONS</t>
    <phoneticPr fontId="2" type="noConversion"/>
  </si>
  <si>
    <t>단가/UNIT COST</t>
    <phoneticPr fontId="2" type="noConversion"/>
  </si>
  <si>
    <t>합계/COST</t>
    <phoneticPr fontId="2" type="noConversion"/>
  </si>
  <si>
    <t>비고/REMARKS</t>
    <phoneticPr fontId="2" type="noConversion"/>
  </si>
  <si>
    <t>합 계</t>
    <phoneticPr fontId="2" type="noConversion"/>
  </si>
  <si>
    <t>부가세</t>
    <phoneticPr fontId="2" type="noConversion"/>
  </si>
  <si>
    <t>주식회사 벤치소프트 / TEL : 070-7841-0310 / FAX : 032-327-7767 / www.bench-soft.com / 담당자 : 정영란</t>
    <phoneticPr fontId="2" type="noConversion"/>
  </si>
  <si>
    <t>원정</t>
    <phoneticPr fontId="2" type="noConversion"/>
  </si>
  <si>
    <t xml:space="preserve">  ■ 업태 : 제조업 / 도매 및 소매업 / 서비스          ■ 종목 : 통신장비, 전자장비                ■ 대표자 : 정  혜  란   (인)    </t>
    <phoneticPr fontId="2" type="noConversion"/>
  </si>
  <si>
    <r>
      <t>거래명세서</t>
    </r>
    <r>
      <rPr>
        <b/>
        <sz val="28"/>
        <color indexed="9"/>
        <rFont val="HY그래픽M"/>
        <family val="1"/>
        <charset val="129"/>
      </rPr>
      <t xml:space="preserve"> </t>
    </r>
    <phoneticPr fontId="2" type="noConversion"/>
  </si>
  <si>
    <t>주식회사  벤치소프트</t>
    <phoneticPr fontId="2" type="noConversion"/>
  </si>
  <si>
    <t xml:space="preserve">DATE : </t>
    <phoneticPr fontId="2" type="noConversion"/>
  </si>
  <si>
    <t xml:space="preserve">CLIENT : </t>
    <phoneticPr fontId="2" type="noConversion"/>
  </si>
  <si>
    <t xml:space="preserve">담당자 :  </t>
    <phoneticPr fontId="2" type="noConversion"/>
  </si>
  <si>
    <t xml:space="preserve">  ■ 사업자번호: 122-86-39814           ■ 주소: 인천광역시 부평구 주부토로 236(갈산동), 인천테크노밸리 U1센터 A동 S907호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</si>
</sst>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);[Red]\(&quot;₩&quot;#,##0\)"/>
    <numFmt numFmtId="177" formatCode="[DBNum4][$-412]General"/>
  </numFmts>
  <fonts count="2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HY그래픽M"/>
      <family val="1"/>
      <charset val="129"/>
    </font>
    <font>
      <sz val="28"/>
      <name val="HY그래픽M"/>
      <family val="1"/>
      <charset val="129"/>
    </font>
    <font>
      <sz val="10"/>
      <name val="HY그래픽M"/>
      <family val="1"/>
      <charset val="129"/>
    </font>
    <font>
      <b/>
      <sz val="28"/>
      <name val="HY그래픽M"/>
      <family val="1"/>
      <charset val="129"/>
    </font>
    <font>
      <b/>
      <sz val="10"/>
      <name val="HY그래픽M"/>
      <family val="1"/>
      <charset val="129"/>
    </font>
    <font>
      <b/>
      <sz val="28"/>
      <color indexed="9"/>
      <name val="HY그래픽M"/>
      <family val="1"/>
      <charset val="129"/>
    </font>
    <font>
      <b/>
      <sz val="8"/>
      <name val="HY그래픽M"/>
      <family val="1"/>
      <charset val="129"/>
    </font>
    <font>
      <sz val="8"/>
      <name val="HY그래픽M"/>
      <family val="1"/>
      <charset val="129"/>
    </font>
    <font>
      <b/>
      <sz val="13"/>
      <color indexed="9"/>
      <name val="새굴림"/>
      <family val="1"/>
      <charset val="129"/>
    </font>
    <font>
      <sz val="11"/>
      <name val="새굴림"/>
      <family val="1"/>
      <charset val="129"/>
    </font>
    <font>
      <b/>
      <sz val="24"/>
      <color indexed="9"/>
      <name val="HY그래픽M"/>
      <family val="1"/>
      <charset val="129"/>
    </font>
    <font>
      <b/>
      <sz val="11"/>
      <name val="HY그래픽M"/>
      <family val="1"/>
      <charset val="129"/>
    </font>
    <font>
      <b/>
      <sz val="7"/>
      <name val="HY그래픽M"/>
      <family val="1"/>
      <charset val="129"/>
    </font>
    <font>
      <b/>
      <sz val="9"/>
      <name val="HY그래픽M"/>
      <family val="1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8"/>
      <color indexed="9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2"/>
      <color theme="1" tint="0.34998626667073579"/>
      <name val="HY헤드라인M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34998626667073579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2" fontId="5" fillId="0" borderId="0" xfId="2" applyFont="1" applyAlignment="1">
      <alignment vertical="center"/>
    </xf>
    <xf numFmtId="0" fontId="5" fillId="0" borderId="0" xfId="0" applyFont="1"/>
    <xf numFmtId="42" fontId="5" fillId="0" borderId="0" xfId="2" applyFont="1" applyAlignment="1">
      <alignment horizontal="left" vertical="center"/>
    </xf>
    <xf numFmtId="42" fontId="5" fillId="0" borderId="1" xfId="2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2" fontId="5" fillId="0" borderId="2" xfId="0" applyNumberFormat="1" applyFont="1" applyBorder="1" applyAlignment="1">
      <alignment vertical="center"/>
    </xf>
    <xf numFmtId="42" fontId="5" fillId="0" borderId="0" xfId="2" applyFont="1" applyBorder="1" applyAlignment="1">
      <alignment vertical="center"/>
    </xf>
    <xf numFmtId="0" fontId="10" fillId="0" borderId="0" xfId="0" applyFont="1"/>
    <xf numFmtId="42" fontId="10" fillId="0" borderId="0" xfId="2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2" fillId="0" borderId="0" xfId="0" applyFont="1"/>
    <xf numFmtId="41" fontId="12" fillId="0" borderId="0" xfId="1" applyFont="1" applyAlignment="1">
      <alignment vertical="center"/>
    </xf>
    <xf numFmtId="0" fontId="11" fillId="0" borderId="0" xfId="0" applyFont="1" applyAlignment="1">
      <alignment horizontal="center" vertical="center"/>
    </xf>
    <xf numFmtId="42" fontId="9" fillId="0" borderId="0" xfId="2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2" fontId="18" fillId="0" borderId="2" xfId="0" applyNumberFormat="1" applyFont="1" applyBorder="1" applyAlignment="1">
      <alignment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42" fontId="18" fillId="0" borderId="1" xfId="2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42" fontId="7" fillId="0" borderId="8" xfId="2" applyFont="1" applyFill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42" fontId="7" fillId="2" borderId="8" xfId="2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1" fontId="18" fillId="0" borderId="1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42" fontId="18" fillId="0" borderId="2" xfId="0" applyNumberFormat="1" applyFont="1" applyBorder="1" applyAlignment="1">
      <alignment horizontal="center" vertical="center"/>
    </xf>
    <xf numFmtId="176" fontId="18" fillId="0" borderId="1" xfId="2" applyNumberFormat="1" applyFont="1" applyBorder="1" applyAlignment="1">
      <alignment vertical="center"/>
    </xf>
    <xf numFmtId="42" fontId="18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42" fontId="5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left" vertical="center"/>
    </xf>
    <xf numFmtId="176" fontId="18" fillId="0" borderId="1" xfId="2" applyNumberFormat="1" applyFont="1" applyBorder="1" applyAlignment="1">
      <alignment horizontal="right" vertical="center"/>
    </xf>
    <xf numFmtId="0" fontId="19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2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7" fillId="0" borderId="15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176" fontId="14" fillId="2" borderId="8" xfId="2" applyNumberFormat="1" applyFont="1" applyFill="1" applyBorder="1" applyAlignment="1">
      <alignment horizontal="center" vertical="center"/>
    </xf>
    <xf numFmtId="176" fontId="14" fillId="2" borderId="7" xfId="2" applyNumberFormat="1" applyFont="1" applyFill="1" applyBorder="1" applyAlignment="1">
      <alignment horizontal="center" vertical="center"/>
    </xf>
    <xf numFmtId="177" fontId="7" fillId="2" borderId="16" xfId="0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2" fontId="16" fillId="2" borderId="7" xfId="2" applyFont="1" applyFill="1" applyBorder="1" applyAlignment="1">
      <alignment horizontal="center" vertical="center"/>
    </xf>
    <xf numFmtId="42" fontId="16" fillId="2" borderId="6" xfId="2" applyFont="1" applyFill="1" applyBorder="1" applyAlignment="1">
      <alignment horizontal="center" vertical="center"/>
    </xf>
    <xf numFmtId="0" fontId="17" fillId="0" borderId="17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/>
    </xf>
    <xf numFmtId="0" fontId="17" fillId="0" borderId="19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20" fillId="3" borderId="20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295729</xdr:colOff>
      <xdr:row>5</xdr:row>
      <xdr:rowOff>224064</xdr:rowOff>
    </xdr:from>
    <xdr:to>
      <xdr:col>8</xdr:col>
      <xdr:colOff>1006928</xdr:colOff>
      <xdr:row>8</xdr:row>
      <xdr:rowOff>97064</xdr:rowOff>
    </xdr:to>
    <xdr:pic>
      <xdr:nvPicPr>
        <xdr:cNvPr id="42991" name="Picture 2674">
          <a:extLst>
            <a:ext uri="{FF2B5EF4-FFF2-40B4-BE49-F238E27FC236}">
              <a16:creationId xmlns:a16="http://schemas.microsoft.com/office/drawing/2014/main" id="{5B21F5D2-8069-42BF-9BC0-AD069FD6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301" y="1471386"/>
          <a:ext cx="711199" cy="707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69" name="Text Box 1">
          <a:extLst>
            <a:ext uri="{FF2B5EF4-FFF2-40B4-BE49-F238E27FC236}">
              <a16:creationId xmlns:a16="http://schemas.microsoft.com/office/drawing/2014/main" id="{816B37AE-4C86-49EA-BD39-7C03758BBE59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공급자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0" name="Text Box 2">
          <a:extLst>
            <a:ext uri="{FF2B5EF4-FFF2-40B4-BE49-F238E27FC236}">
              <a16:creationId xmlns:a16="http://schemas.microsoft.com/office/drawing/2014/main" id="{AA1E3BA9-33E4-4138-9F44-E8B26E065DC5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1" name="Text Box 3">
          <a:extLst>
            <a:ext uri="{FF2B5EF4-FFF2-40B4-BE49-F238E27FC236}">
              <a16:creationId xmlns:a16="http://schemas.microsoft.com/office/drawing/2014/main" id="{D5D10C89-DB50-4339-BE22-1CE9AE7949E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2" name="Text Box 4">
          <a:extLst>
            <a:ext uri="{FF2B5EF4-FFF2-40B4-BE49-F238E27FC236}">
              <a16:creationId xmlns:a16="http://schemas.microsoft.com/office/drawing/2014/main" id="{52F3F21C-7D0E-4DE6-B662-4FE3E52185EB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3" name="Text Box 5">
          <a:extLst>
            <a:ext uri="{FF2B5EF4-FFF2-40B4-BE49-F238E27FC236}">
              <a16:creationId xmlns:a16="http://schemas.microsoft.com/office/drawing/2014/main" id="{FBC3D080-E2D9-4299-BA58-644117A75AA4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4" name="Text Box 6">
          <a:extLst>
            <a:ext uri="{FF2B5EF4-FFF2-40B4-BE49-F238E27FC236}">
              <a16:creationId xmlns:a16="http://schemas.microsoft.com/office/drawing/2014/main" id="{DAF9CBBB-3DB4-46EA-AC0F-8C2A58E76B3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5" name="Text Box 7">
          <a:extLst>
            <a:ext uri="{FF2B5EF4-FFF2-40B4-BE49-F238E27FC236}">
              <a16:creationId xmlns:a16="http://schemas.microsoft.com/office/drawing/2014/main" id="{72645597-6F54-4B62-BBA0-2BD9DB8FB5C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6" name="Text Box 8">
          <a:extLst>
            <a:ext uri="{FF2B5EF4-FFF2-40B4-BE49-F238E27FC236}">
              <a16:creationId xmlns:a16="http://schemas.microsoft.com/office/drawing/2014/main" id="{B5C5FEE6-515A-4172-9281-6F3BF897A541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7" name="Text Box 9">
          <a:extLst>
            <a:ext uri="{FF2B5EF4-FFF2-40B4-BE49-F238E27FC236}">
              <a16:creationId xmlns:a16="http://schemas.microsoft.com/office/drawing/2014/main" id="{4B09DE6A-AFB8-406C-A937-F885C514C26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8" name="Text Box 10">
          <a:extLst>
            <a:ext uri="{FF2B5EF4-FFF2-40B4-BE49-F238E27FC236}">
              <a16:creationId xmlns:a16="http://schemas.microsoft.com/office/drawing/2014/main" id="{2741317E-5DD8-4E2F-B858-7E2A18798D6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79" name="Text Box 11">
          <a:extLst>
            <a:ext uri="{FF2B5EF4-FFF2-40B4-BE49-F238E27FC236}">
              <a16:creationId xmlns:a16="http://schemas.microsoft.com/office/drawing/2014/main" id="{61E1577A-7CBC-49C1-90B9-722721EE8DA5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0" name="Text Box 12">
          <a:extLst>
            <a:ext uri="{FF2B5EF4-FFF2-40B4-BE49-F238E27FC236}">
              <a16:creationId xmlns:a16="http://schemas.microsoft.com/office/drawing/2014/main" id="{FCDD46E4-096C-430E-B44E-8394390C1D0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1" name="Text Box 13">
          <a:extLst>
            <a:ext uri="{FF2B5EF4-FFF2-40B4-BE49-F238E27FC236}">
              <a16:creationId xmlns:a16="http://schemas.microsoft.com/office/drawing/2014/main" id="{72076E4B-EF3A-4FD8-AAC0-DF1F5A870348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2" name="Text Box 14">
          <a:extLst>
            <a:ext uri="{FF2B5EF4-FFF2-40B4-BE49-F238E27FC236}">
              <a16:creationId xmlns:a16="http://schemas.microsoft.com/office/drawing/2014/main" id="{CB33E6BE-C448-4BB0-80C3-8570878AA382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3" name="Text Box 15">
          <a:extLst>
            <a:ext uri="{FF2B5EF4-FFF2-40B4-BE49-F238E27FC236}">
              <a16:creationId xmlns:a16="http://schemas.microsoft.com/office/drawing/2014/main" id="{D89A421C-F0E4-47E8-B85C-445A741144A4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4" name="Text Box 16">
          <a:extLst>
            <a:ext uri="{FF2B5EF4-FFF2-40B4-BE49-F238E27FC236}">
              <a16:creationId xmlns:a16="http://schemas.microsoft.com/office/drawing/2014/main" id="{2F6BEB08-E028-4BE6-8AF7-8555FF7647A7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5" name="Text Box 17">
          <a:extLst>
            <a:ext uri="{FF2B5EF4-FFF2-40B4-BE49-F238E27FC236}">
              <a16:creationId xmlns:a16="http://schemas.microsoft.com/office/drawing/2014/main" id="{2CAE1CBD-6D66-453F-97AF-82DEF05E03E6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6" name="Text Box 18">
          <a:extLst>
            <a:ext uri="{FF2B5EF4-FFF2-40B4-BE49-F238E27FC236}">
              <a16:creationId xmlns:a16="http://schemas.microsoft.com/office/drawing/2014/main" id="{1425A412-A9BF-4A8A-961F-3E4E1A15FF7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7" name="Text Box 19">
          <a:extLst>
            <a:ext uri="{FF2B5EF4-FFF2-40B4-BE49-F238E27FC236}">
              <a16:creationId xmlns:a16="http://schemas.microsoft.com/office/drawing/2014/main" id="{43B2B2F8-F078-4AB4-909A-AE2663DEB392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8" name="Text Box 20">
          <a:extLst>
            <a:ext uri="{FF2B5EF4-FFF2-40B4-BE49-F238E27FC236}">
              <a16:creationId xmlns:a16="http://schemas.microsoft.com/office/drawing/2014/main" id="{51919B46-6AF8-4252-9C27-40D6FBC61BC7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89" name="Text Box 21">
          <a:extLst>
            <a:ext uri="{FF2B5EF4-FFF2-40B4-BE49-F238E27FC236}">
              <a16:creationId xmlns:a16="http://schemas.microsoft.com/office/drawing/2014/main" id="{458E2B04-6D76-46F4-8CF3-9FC9D66B5F7A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0" name="Text Box 22">
          <a:extLst>
            <a:ext uri="{FF2B5EF4-FFF2-40B4-BE49-F238E27FC236}">
              <a16:creationId xmlns:a16="http://schemas.microsoft.com/office/drawing/2014/main" id="{4C03DC9E-B0A5-4704-B867-74F8D4E39D8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1" name="Text Box 23">
          <a:extLst>
            <a:ext uri="{FF2B5EF4-FFF2-40B4-BE49-F238E27FC236}">
              <a16:creationId xmlns:a16="http://schemas.microsoft.com/office/drawing/2014/main" id="{B9FD43DA-C74F-4ABF-8284-73F1A7DC683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2" name="Text Box 24">
          <a:extLst>
            <a:ext uri="{FF2B5EF4-FFF2-40B4-BE49-F238E27FC236}">
              <a16:creationId xmlns:a16="http://schemas.microsoft.com/office/drawing/2014/main" id="{AF1FD54A-B977-4DA4-A54A-1A8598967A7C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3" name="Text Box 25">
          <a:extLst>
            <a:ext uri="{FF2B5EF4-FFF2-40B4-BE49-F238E27FC236}">
              <a16:creationId xmlns:a16="http://schemas.microsoft.com/office/drawing/2014/main" id="{1AC95534-C3A2-414E-89F5-50287928096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4" name="Text Box 26">
          <a:extLst>
            <a:ext uri="{FF2B5EF4-FFF2-40B4-BE49-F238E27FC236}">
              <a16:creationId xmlns:a16="http://schemas.microsoft.com/office/drawing/2014/main" id="{E93BD973-6A45-488F-BC82-C5327A49C469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5" name="Text Box 27">
          <a:extLst>
            <a:ext uri="{FF2B5EF4-FFF2-40B4-BE49-F238E27FC236}">
              <a16:creationId xmlns:a16="http://schemas.microsoft.com/office/drawing/2014/main" id="{EA4926E6-F6D8-40E6-A9D9-C6B859E90BAD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6" name="Text Box 28">
          <a:extLst>
            <a:ext uri="{FF2B5EF4-FFF2-40B4-BE49-F238E27FC236}">
              <a16:creationId xmlns:a16="http://schemas.microsoft.com/office/drawing/2014/main" id="{CDEBF41B-9CE2-4296-9032-FA189E4BA05B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7" name="Text Box 29">
          <a:extLst>
            <a:ext uri="{FF2B5EF4-FFF2-40B4-BE49-F238E27FC236}">
              <a16:creationId xmlns:a16="http://schemas.microsoft.com/office/drawing/2014/main" id="{03EC6218-03C0-41C0-ABF0-D6BC3C348610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8" name="Text Box 30">
          <a:extLst>
            <a:ext uri="{FF2B5EF4-FFF2-40B4-BE49-F238E27FC236}">
              <a16:creationId xmlns:a16="http://schemas.microsoft.com/office/drawing/2014/main" id="{DE531B2A-9EE3-4E4B-ADFF-DB38C1646389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799" name="Text Box 31">
          <a:extLst>
            <a:ext uri="{FF2B5EF4-FFF2-40B4-BE49-F238E27FC236}">
              <a16:creationId xmlns:a16="http://schemas.microsoft.com/office/drawing/2014/main" id="{0B5EE7F4-A3A3-4E59-80C3-932DF98AED09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0" name="Text Box 32">
          <a:extLst>
            <a:ext uri="{FF2B5EF4-FFF2-40B4-BE49-F238E27FC236}">
              <a16:creationId xmlns:a16="http://schemas.microsoft.com/office/drawing/2014/main" id="{91209EED-4F6A-43D1-BBE4-43ABDB006E2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1" name="Text Box 33">
          <a:extLst>
            <a:ext uri="{FF2B5EF4-FFF2-40B4-BE49-F238E27FC236}">
              <a16:creationId xmlns:a16="http://schemas.microsoft.com/office/drawing/2014/main" id="{0CD1FC96-209B-4552-B34A-732A59616002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2" name="Text Box 34">
          <a:extLst>
            <a:ext uri="{FF2B5EF4-FFF2-40B4-BE49-F238E27FC236}">
              <a16:creationId xmlns:a16="http://schemas.microsoft.com/office/drawing/2014/main" id="{B9CD7E9A-860E-4C44-AFED-8E359A093868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3" name="Text Box 35">
          <a:extLst>
            <a:ext uri="{FF2B5EF4-FFF2-40B4-BE49-F238E27FC236}">
              <a16:creationId xmlns:a16="http://schemas.microsoft.com/office/drawing/2014/main" id="{247954B2-71C0-4324-8AC2-0B844C6AC8B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4" name="Text Box 36">
          <a:extLst>
            <a:ext uri="{FF2B5EF4-FFF2-40B4-BE49-F238E27FC236}">
              <a16:creationId xmlns:a16="http://schemas.microsoft.com/office/drawing/2014/main" id="{9926E1FF-DF5B-47F1-A8C8-A82D1E7A165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5" name="Text Box 37">
          <a:extLst>
            <a:ext uri="{FF2B5EF4-FFF2-40B4-BE49-F238E27FC236}">
              <a16:creationId xmlns:a16="http://schemas.microsoft.com/office/drawing/2014/main" id="{95FB8AEE-88EF-4DA5-9F2C-BB907D759CF8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6" name="Text Box 38">
          <a:extLst>
            <a:ext uri="{FF2B5EF4-FFF2-40B4-BE49-F238E27FC236}">
              <a16:creationId xmlns:a16="http://schemas.microsoft.com/office/drawing/2014/main" id="{EE30BF75-27E3-4E4C-B187-116B15C0B9E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7" name="Text Box 39">
          <a:extLst>
            <a:ext uri="{FF2B5EF4-FFF2-40B4-BE49-F238E27FC236}">
              <a16:creationId xmlns:a16="http://schemas.microsoft.com/office/drawing/2014/main" id="{428BC77D-D2E4-431E-A417-85ED4267258A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8" name="Text Box 40">
          <a:extLst>
            <a:ext uri="{FF2B5EF4-FFF2-40B4-BE49-F238E27FC236}">
              <a16:creationId xmlns:a16="http://schemas.microsoft.com/office/drawing/2014/main" id="{466E0B4A-F40C-42D2-A810-85F12A6878C9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09" name="Text Box 41">
          <a:extLst>
            <a:ext uri="{FF2B5EF4-FFF2-40B4-BE49-F238E27FC236}">
              <a16:creationId xmlns:a16="http://schemas.microsoft.com/office/drawing/2014/main" id="{9C48B280-E460-4649-9021-88F704FE3C4B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0" name="Text Box 42">
          <a:extLst>
            <a:ext uri="{FF2B5EF4-FFF2-40B4-BE49-F238E27FC236}">
              <a16:creationId xmlns:a16="http://schemas.microsoft.com/office/drawing/2014/main" id="{D69A2981-2710-4B8F-980D-FFC2B75FD9E8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1" name="Text Box 43">
          <a:extLst>
            <a:ext uri="{FF2B5EF4-FFF2-40B4-BE49-F238E27FC236}">
              <a16:creationId xmlns:a16="http://schemas.microsoft.com/office/drawing/2014/main" id="{46B8C90D-DC8A-4538-B07E-38888DFA44ED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2" name="Text Box 44">
          <a:extLst>
            <a:ext uri="{FF2B5EF4-FFF2-40B4-BE49-F238E27FC236}">
              <a16:creationId xmlns:a16="http://schemas.microsoft.com/office/drawing/2014/main" id="{DD09D4ED-041B-409B-85E4-821335294DE8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3" name="Text Box 45">
          <a:extLst>
            <a:ext uri="{FF2B5EF4-FFF2-40B4-BE49-F238E27FC236}">
              <a16:creationId xmlns:a16="http://schemas.microsoft.com/office/drawing/2014/main" id="{8AB55FA6-8E76-4586-BCE7-85AF68E5A3F4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4" name="Text Box 46">
          <a:extLst>
            <a:ext uri="{FF2B5EF4-FFF2-40B4-BE49-F238E27FC236}">
              <a16:creationId xmlns:a16="http://schemas.microsoft.com/office/drawing/2014/main" id="{39D80127-C347-4CD1-83CB-928343D708B0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5" name="Text Box 47">
          <a:extLst>
            <a:ext uri="{FF2B5EF4-FFF2-40B4-BE49-F238E27FC236}">
              <a16:creationId xmlns:a16="http://schemas.microsoft.com/office/drawing/2014/main" id="{AE1AAD90-2B8F-4089-99BC-5C6E579BA0B6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6" name="Text Box 48">
          <a:extLst>
            <a:ext uri="{FF2B5EF4-FFF2-40B4-BE49-F238E27FC236}">
              <a16:creationId xmlns:a16="http://schemas.microsoft.com/office/drawing/2014/main" id="{725417FF-9667-4A55-8804-580BADC28D92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7" name="Text Box 49">
          <a:extLst>
            <a:ext uri="{FF2B5EF4-FFF2-40B4-BE49-F238E27FC236}">
              <a16:creationId xmlns:a16="http://schemas.microsoft.com/office/drawing/2014/main" id="{2D6871E7-7A54-4680-B86E-B43D0206B4A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8" name="Text Box 50">
          <a:extLst>
            <a:ext uri="{FF2B5EF4-FFF2-40B4-BE49-F238E27FC236}">
              <a16:creationId xmlns:a16="http://schemas.microsoft.com/office/drawing/2014/main" id="{0D31ADB6-6BB2-4644-B8EC-42AE34B724F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19" name="Text Box 51">
          <a:extLst>
            <a:ext uri="{FF2B5EF4-FFF2-40B4-BE49-F238E27FC236}">
              <a16:creationId xmlns:a16="http://schemas.microsoft.com/office/drawing/2014/main" id="{1E36B960-2569-4470-84FA-985C617A614B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0" name="Text Box 52">
          <a:extLst>
            <a:ext uri="{FF2B5EF4-FFF2-40B4-BE49-F238E27FC236}">
              <a16:creationId xmlns:a16="http://schemas.microsoft.com/office/drawing/2014/main" id="{D6BBB17E-A6DD-4C4E-A4BD-D65AAADF0F1C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1" name="Text Box 53">
          <a:extLst>
            <a:ext uri="{FF2B5EF4-FFF2-40B4-BE49-F238E27FC236}">
              <a16:creationId xmlns:a16="http://schemas.microsoft.com/office/drawing/2014/main" id="{75122E81-2235-44D3-A0A6-645D3C622B48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2" name="Text Box 54">
          <a:extLst>
            <a:ext uri="{FF2B5EF4-FFF2-40B4-BE49-F238E27FC236}">
              <a16:creationId xmlns:a16="http://schemas.microsoft.com/office/drawing/2014/main" id="{FAE46F1D-6A88-47A2-BF6C-3222468E2D35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3" name="Text Box 55">
          <a:extLst>
            <a:ext uri="{FF2B5EF4-FFF2-40B4-BE49-F238E27FC236}">
              <a16:creationId xmlns:a16="http://schemas.microsoft.com/office/drawing/2014/main" id="{AC1D3350-57F7-4526-966D-C95E5AF0C57B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4" name="Text Box 56">
          <a:extLst>
            <a:ext uri="{FF2B5EF4-FFF2-40B4-BE49-F238E27FC236}">
              <a16:creationId xmlns:a16="http://schemas.microsoft.com/office/drawing/2014/main" id="{F7718F5F-0E2D-492B-BE03-C09B6DACDC1B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5" name="Text Box 57">
          <a:extLst>
            <a:ext uri="{FF2B5EF4-FFF2-40B4-BE49-F238E27FC236}">
              <a16:creationId xmlns:a16="http://schemas.microsoft.com/office/drawing/2014/main" id="{8C941C3E-563D-4472-8328-4945D7514B74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6" name="Text Box 58">
          <a:extLst>
            <a:ext uri="{FF2B5EF4-FFF2-40B4-BE49-F238E27FC236}">
              <a16:creationId xmlns:a16="http://schemas.microsoft.com/office/drawing/2014/main" id="{C32631B3-8482-4078-845E-0E3B86D0B6FA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7" name="Text Box 59">
          <a:extLst>
            <a:ext uri="{FF2B5EF4-FFF2-40B4-BE49-F238E27FC236}">
              <a16:creationId xmlns:a16="http://schemas.microsoft.com/office/drawing/2014/main" id="{199B881B-761A-403B-9301-07F5F7F5C60D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8" name="Text Box 60">
          <a:extLst>
            <a:ext uri="{FF2B5EF4-FFF2-40B4-BE49-F238E27FC236}">
              <a16:creationId xmlns:a16="http://schemas.microsoft.com/office/drawing/2014/main" id="{AEA538AA-096E-4C68-92E9-60DB6C67EBF6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29" name="Text Box 61">
          <a:extLst>
            <a:ext uri="{FF2B5EF4-FFF2-40B4-BE49-F238E27FC236}">
              <a16:creationId xmlns:a16="http://schemas.microsoft.com/office/drawing/2014/main" id="{7408B9AB-A043-4C56-91F3-90FCCEE0D402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0" name="Text Box 62">
          <a:extLst>
            <a:ext uri="{FF2B5EF4-FFF2-40B4-BE49-F238E27FC236}">
              <a16:creationId xmlns:a16="http://schemas.microsoft.com/office/drawing/2014/main" id="{D6CB516F-ACCE-493E-BED1-489AC1405EA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1" name="Text Box 63">
          <a:extLst>
            <a:ext uri="{FF2B5EF4-FFF2-40B4-BE49-F238E27FC236}">
              <a16:creationId xmlns:a16="http://schemas.microsoft.com/office/drawing/2014/main" id="{12D3A703-942C-41B8-92F2-3323B7BAC79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2" name="Text Box 64">
          <a:extLst>
            <a:ext uri="{FF2B5EF4-FFF2-40B4-BE49-F238E27FC236}">
              <a16:creationId xmlns:a16="http://schemas.microsoft.com/office/drawing/2014/main" id="{0B9D76EC-B95B-4687-8CBA-83407621F30C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3" name="Text Box 65">
          <a:extLst>
            <a:ext uri="{FF2B5EF4-FFF2-40B4-BE49-F238E27FC236}">
              <a16:creationId xmlns:a16="http://schemas.microsoft.com/office/drawing/2014/main" id="{EC9A3B4B-1C82-4ECD-89E8-C958EDA60B04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4" name="Text Box 66">
          <a:extLst>
            <a:ext uri="{FF2B5EF4-FFF2-40B4-BE49-F238E27FC236}">
              <a16:creationId xmlns:a16="http://schemas.microsoft.com/office/drawing/2014/main" id="{1AAF85F0-235E-449B-9F29-E5846D2B608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5" name="Text Box 67">
          <a:extLst>
            <a:ext uri="{FF2B5EF4-FFF2-40B4-BE49-F238E27FC236}">
              <a16:creationId xmlns:a16="http://schemas.microsoft.com/office/drawing/2014/main" id="{A03D3CD4-B7FB-4DB0-B6D6-6CB87501F0AA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6" name="Text Box 68">
          <a:extLst>
            <a:ext uri="{FF2B5EF4-FFF2-40B4-BE49-F238E27FC236}">
              <a16:creationId xmlns:a16="http://schemas.microsoft.com/office/drawing/2014/main" id="{2541C2D6-6688-4E5A-B359-38941EACE32C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7" name="Text Box 69">
          <a:extLst>
            <a:ext uri="{FF2B5EF4-FFF2-40B4-BE49-F238E27FC236}">
              <a16:creationId xmlns:a16="http://schemas.microsoft.com/office/drawing/2014/main" id="{256C39AD-20C0-4B97-B613-9412CDC9E6F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8" name="Text Box 70">
          <a:extLst>
            <a:ext uri="{FF2B5EF4-FFF2-40B4-BE49-F238E27FC236}">
              <a16:creationId xmlns:a16="http://schemas.microsoft.com/office/drawing/2014/main" id="{3E8BB8F1-F20A-4132-8085-D6E97F01190B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39" name="Text Box 71">
          <a:extLst>
            <a:ext uri="{FF2B5EF4-FFF2-40B4-BE49-F238E27FC236}">
              <a16:creationId xmlns:a16="http://schemas.microsoft.com/office/drawing/2014/main" id="{75BF9D8D-1670-45FE-89E5-C2EA90F3641C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0" name="Text Box 72">
          <a:extLst>
            <a:ext uri="{FF2B5EF4-FFF2-40B4-BE49-F238E27FC236}">
              <a16:creationId xmlns:a16="http://schemas.microsoft.com/office/drawing/2014/main" id="{520030B1-E69A-4E04-8EAD-6F30A195D610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1" name="Text Box 73">
          <a:extLst>
            <a:ext uri="{FF2B5EF4-FFF2-40B4-BE49-F238E27FC236}">
              <a16:creationId xmlns:a16="http://schemas.microsoft.com/office/drawing/2014/main" id="{C9DA309F-31AD-4DBE-9DFC-5742E1F5609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2" name="Text Box 74">
          <a:extLst>
            <a:ext uri="{FF2B5EF4-FFF2-40B4-BE49-F238E27FC236}">
              <a16:creationId xmlns:a16="http://schemas.microsoft.com/office/drawing/2014/main" id="{62BF4017-5027-4083-A1AE-F46DD1EC2E4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3" name="Text Box 75">
          <a:extLst>
            <a:ext uri="{FF2B5EF4-FFF2-40B4-BE49-F238E27FC236}">
              <a16:creationId xmlns:a16="http://schemas.microsoft.com/office/drawing/2014/main" id="{23D51930-2A6A-40CB-859E-FB637F661A60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4" name="Text Box 76">
          <a:extLst>
            <a:ext uri="{FF2B5EF4-FFF2-40B4-BE49-F238E27FC236}">
              <a16:creationId xmlns:a16="http://schemas.microsoft.com/office/drawing/2014/main" id="{1BDAB100-92CF-44D6-8C5D-2F3113123940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5" name="Text Box 77">
          <a:extLst>
            <a:ext uri="{FF2B5EF4-FFF2-40B4-BE49-F238E27FC236}">
              <a16:creationId xmlns:a16="http://schemas.microsoft.com/office/drawing/2014/main" id="{34CB453F-E3B0-42E3-9802-C611CD7B29F0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6" name="Text Box 78">
          <a:extLst>
            <a:ext uri="{FF2B5EF4-FFF2-40B4-BE49-F238E27FC236}">
              <a16:creationId xmlns:a16="http://schemas.microsoft.com/office/drawing/2014/main" id="{9C95C08E-05A1-40A0-87D9-852E6968B915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7" name="Text Box 79">
          <a:extLst>
            <a:ext uri="{FF2B5EF4-FFF2-40B4-BE49-F238E27FC236}">
              <a16:creationId xmlns:a16="http://schemas.microsoft.com/office/drawing/2014/main" id="{D29D764F-B391-4487-B0AF-E588662ED5E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8" name="Text Box 80">
          <a:extLst>
            <a:ext uri="{FF2B5EF4-FFF2-40B4-BE49-F238E27FC236}">
              <a16:creationId xmlns:a16="http://schemas.microsoft.com/office/drawing/2014/main" id="{3A91EF9B-F1D0-4DEA-8B6A-B7A387F0274C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49" name="Text Box 81">
          <a:extLst>
            <a:ext uri="{FF2B5EF4-FFF2-40B4-BE49-F238E27FC236}">
              <a16:creationId xmlns:a16="http://schemas.microsoft.com/office/drawing/2014/main" id="{2CB1E550-C244-43EC-BB45-E0BA9F82C0BC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0" name="Text Box 82">
          <a:extLst>
            <a:ext uri="{FF2B5EF4-FFF2-40B4-BE49-F238E27FC236}">
              <a16:creationId xmlns:a16="http://schemas.microsoft.com/office/drawing/2014/main" id="{EA4DA0E0-5DA5-487B-87A6-2749616625BD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1" name="Text Box 83">
          <a:extLst>
            <a:ext uri="{FF2B5EF4-FFF2-40B4-BE49-F238E27FC236}">
              <a16:creationId xmlns:a16="http://schemas.microsoft.com/office/drawing/2014/main" id="{65E5FF68-56E8-4095-8793-B4CE3B4963A7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2" name="Text Box 84">
          <a:extLst>
            <a:ext uri="{FF2B5EF4-FFF2-40B4-BE49-F238E27FC236}">
              <a16:creationId xmlns:a16="http://schemas.microsoft.com/office/drawing/2014/main" id="{9EBCD0B3-A2B4-4A4E-8618-52881A5E7699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3" name="Text Box 85">
          <a:extLst>
            <a:ext uri="{FF2B5EF4-FFF2-40B4-BE49-F238E27FC236}">
              <a16:creationId xmlns:a16="http://schemas.microsoft.com/office/drawing/2014/main" id="{4D8BB721-FDBF-41D2-932A-CBEE40743E70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4" name="Text Box 86">
          <a:extLst>
            <a:ext uri="{FF2B5EF4-FFF2-40B4-BE49-F238E27FC236}">
              <a16:creationId xmlns:a16="http://schemas.microsoft.com/office/drawing/2014/main" id="{B8B942D9-DC3C-4B7C-9C34-4F7DB884A88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5" name="Text Box 87">
          <a:extLst>
            <a:ext uri="{FF2B5EF4-FFF2-40B4-BE49-F238E27FC236}">
              <a16:creationId xmlns:a16="http://schemas.microsoft.com/office/drawing/2014/main" id="{471176A9-6F5A-4AFE-9134-59F79A4FF7D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6" name="Text Box 88">
          <a:extLst>
            <a:ext uri="{FF2B5EF4-FFF2-40B4-BE49-F238E27FC236}">
              <a16:creationId xmlns:a16="http://schemas.microsoft.com/office/drawing/2014/main" id="{CD893EDE-0213-48FD-BB36-822687ED222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7" name="Text Box 89">
          <a:extLst>
            <a:ext uri="{FF2B5EF4-FFF2-40B4-BE49-F238E27FC236}">
              <a16:creationId xmlns:a16="http://schemas.microsoft.com/office/drawing/2014/main" id="{9F290CBF-89EC-43AB-940A-C229879C8C8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8" name="Text Box 90">
          <a:extLst>
            <a:ext uri="{FF2B5EF4-FFF2-40B4-BE49-F238E27FC236}">
              <a16:creationId xmlns:a16="http://schemas.microsoft.com/office/drawing/2014/main" id="{A662C49F-0D03-4CE2-9450-F1E7D2A00A51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59" name="Text Box 91">
          <a:extLst>
            <a:ext uri="{FF2B5EF4-FFF2-40B4-BE49-F238E27FC236}">
              <a16:creationId xmlns:a16="http://schemas.microsoft.com/office/drawing/2014/main" id="{41CE0A47-135B-421B-8452-24721E581B0A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0" name="Text Box 92">
          <a:extLst>
            <a:ext uri="{FF2B5EF4-FFF2-40B4-BE49-F238E27FC236}">
              <a16:creationId xmlns:a16="http://schemas.microsoft.com/office/drawing/2014/main" id="{69D4AAA8-2340-45F3-8EF8-ED5BBE016F91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1" name="Text Box 93">
          <a:extLst>
            <a:ext uri="{FF2B5EF4-FFF2-40B4-BE49-F238E27FC236}">
              <a16:creationId xmlns:a16="http://schemas.microsoft.com/office/drawing/2014/main" id="{551CC078-FF5E-40C8-8CCE-58C36823B98D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2" name="Text Box 94">
          <a:extLst>
            <a:ext uri="{FF2B5EF4-FFF2-40B4-BE49-F238E27FC236}">
              <a16:creationId xmlns:a16="http://schemas.microsoft.com/office/drawing/2014/main" id="{FA926CB6-4B71-4933-9A77-9D3E2184BC86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3" name="Text Box 95">
          <a:extLst>
            <a:ext uri="{FF2B5EF4-FFF2-40B4-BE49-F238E27FC236}">
              <a16:creationId xmlns:a16="http://schemas.microsoft.com/office/drawing/2014/main" id="{9A8507CA-73AB-4323-AD0E-743F328D9CE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4" name="Text Box 96">
          <a:extLst>
            <a:ext uri="{FF2B5EF4-FFF2-40B4-BE49-F238E27FC236}">
              <a16:creationId xmlns:a16="http://schemas.microsoft.com/office/drawing/2014/main" id="{46543704-40B9-4958-A254-16184133BB3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5" name="Text Box 97">
          <a:extLst>
            <a:ext uri="{FF2B5EF4-FFF2-40B4-BE49-F238E27FC236}">
              <a16:creationId xmlns:a16="http://schemas.microsoft.com/office/drawing/2014/main" id="{E2C12979-917A-4B4F-9C0D-76C78F0FE42E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6" name="Text Box 98">
          <a:extLst>
            <a:ext uri="{FF2B5EF4-FFF2-40B4-BE49-F238E27FC236}">
              <a16:creationId xmlns:a16="http://schemas.microsoft.com/office/drawing/2014/main" id="{BA21AE14-4C6A-47EA-887E-EADF2BB795B7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7" name="Text Box 99">
          <a:extLst>
            <a:ext uri="{FF2B5EF4-FFF2-40B4-BE49-F238E27FC236}">
              <a16:creationId xmlns:a16="http://schemas.microsoft.com/office/drawing/2014/main" id="{00648D29-9E28-412D-80AA-54F7C6873814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8" name="Text Box 100">
          <a:extLst>
            <a:ext uri="{FF2B5EF4-FFF2-40B4-BE49-F238E27FC236}">
              <a16:creationId xmlns:a16="http://schemas.microsoft.com/office/drawing/2014/main" id="{E6D03B9E-596A-489D-9F5D-AF6469BBED4A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69" name="Text Box 101">
          <a:extLst>
            <a:ext uri="{FF2B5EF4-FFF2-40B4-BE49-F238E27FC236}">
              <a16:creationId xmlns:a16="http://schemas.microsoft.com/office/drawing/2014/main" id="{780251CB-2DA6-4BE0-91C3-9E3E9C67CE8F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70" name="Text Box 102">
          <a:extLst>
            <a:ext uri="{FF2B5EF4-FFF2-40B4-BE49-F238E27FC236}">
              <a16:creationId xmlns:a16="http://schemas.microsoft.com/office/drawing/2014/main" id="{79641C75-7B2F-419C-BE60-4F201C12F6B5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71" name="Text Box 103">
          <a:extLst>
            <a:ext uri="{FF2B5EF4-FFF2-40B4-BE49-F238E27FC236}">
              <a16:creationId xmlns:a16="http://schemas.microsoft.com/office/drawing/2014/main" id="{39128246-BD03-4814-B36C-E84A65844C67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72" name="Text Box 104">
          <a:extLst>
            <a:ext uri="{FF2B5EF4-FFF2-40B4-BE49-F238E27FC236}">
              <a16:creationId xmlns:a16="http://schemas.microsoft.com/office/drawing/2014/main" id="{54FCB252-AAF8-4802-8FA7-B12C15B76754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73" name="Text Box 105">
          <a:extLst>
            <a:ext uri="{FF2B5EF4-FFF2-40B4-BE49-F238E27FC236}">
              <a16:creationId xmlns:a16="http://schemas.microsoft.com/office/drawing/2014/main" id="{ECF4B5CA-3206-4BEC-8B04-AC76F9D541D1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74" name="Text Box 106">
          <a:extLst>
            <a:ext uri="{FF2B5EF4-FFF2-40B4-BE49-F238E27FC236}">
              <a16:creationId xmlns:a16="http://schemas.microsoft.com/office/drawing/2014/main" id="{26445C68-DE8E-4F94-A1B1-678127B25537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75" name="Text Box 107">
          <a:extLst>
            <a:ext uri="{FF2B5EF4-FFF2-40B4-BE49-F238E27FC236}">
              <a16:creationId xmlns:a16="http://schemas.microsoft.com/office/drawing/2014/main" id="{7EA8A54C-4BA7-442E-A666-6A40A8711F0D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76" name="Text Box 108">
          <a:extLst>
            <a:ext uri="{FF2B5EF4-FFF2-40B4-BE49-F238E27FC236}">
              <a16:creationId xmlns:a16="http://schemas.microsoft.com/office/drawing/2014/main" id="{CFDAFCC2-1407-44E4-878E-C13947AB995D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4</xdr:col>
      <xdr:colOff>130175</xdr:colOff>
      <xdr:row>3</xdr:row>
      <xdr:rowOff>0</xdr:rowOff>
    </xdr:from>
    <xdr:to>
      <xdr:col>4</xdr:col>
      <xdr:colOff>457255</xdr:colOff>
      <xdr:row>3</xdr:row>
      <xdr:rowOff>0</xdr:rowOff>
    </xdr:to>
    <xdr:sp macro="" textlink="">
      <xdr:nvSpPr>
        <xdr:cNvPr id="32877" name="Text Box 109">
          <a:extLst>
            <a:ext uri="{FF2B5EF4-FFF2-40B4-BE49-F238E27FC236}">
              <a16:creationId xmlns:a16="http://schemas.microsoft.com/office/drawing/2014/main" id="{7902B828-589F-4284-BB8D-8D1ACE9740D3}"/>
            </a:ext>
          </a:extLst>
        </xdr:cNvPr>
        <xdr:cNvSpPr txBox="1">
          <a:spLocks noChangeArrowheads="1"/>
        </xdr:cNvSpPr>
      </xdr:nvSpPr>
      <xdr:spPr bwMode="auto">
        <a:xfrm>
          <a:off x="3105150" y="704850"/>
          <a:ext cx="3714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 editAs="oneCell">
    <xdr:from>
      <xdr:col>0</xdr:col>
      <xdr:colOff>57150</xdr:colOff>
      <xdr:row>1</xdr:row>
      <xdr:rowOff>19050</xdr:rowOff>
    </xdr:from>
    <xdr:to>
      <xdr:col>2</xdr:col>
      <xdr:colOff>471488</xdr:colOff>
      <xdr:row>2</xdr:row>
      <xdr:rowOff>214313</xdr:rowOff>
    </xdr:to>
    <xdr:pic>
      <xdr:nvPicPr>
        <xdr:cNvPr id="43101" name="그림 1">
          <a:extLst>
            <a:ext uri="{FF2B5EF4-FFF2-40B4-BE49-F238E27FC236}">
              <a16:creationId xmlns:a16="http://schemas.microsoft.com/office/drawing/2014/main" id="{3FC574A5-FD38-4D77-9DCE-4E7D224E8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0"/>
          <a:ext cx="17272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view="pageBreakPreview" zoomScale="120" zoomScaleNormal="100" zoomScaleSheetLayoutView="120" workbookViewId="0">
      <selection activeCell="G14" sqref="G14:H14"/>
    </sheetView>
  </sheetViews>
  <sheetFormatPr defaultColWidth="8.73046875" defaultRowHeight="14.15" x14ac:dyDescent="0.3"/>
  <cols>
    <col min="1" max="1" width="5.73046875" style="1" customWidth="1"/>
    <col min="2" max="2" width="11.46484375" style="1" customWidth="1"/>
    <col min="3" max="3" width="6.73046875" style="1" customWidth="1"/>
    <col min="4" max="4" width="10.33203125" style="1" customWidth="1"/>
    <col min="5" max="5" width="7.73046875" style="1" customWidth="1"/>
    <col min="6" max="6" width="12.73046875" style="1" customWidth="1"/>
    <col min="7" max="7" width="0.3984375" style="1" customWidth="1"/>
    <col min="8" max="8" width="14.265625" style="1" customWidth="1"/>
    <col min="9" max="9" width="12.86328125" style="1" customWidth="1"/>
    <col min="10" max="10" width="12.3984375" style="5" bestFit="1" customWidth="1"/>
    <col min="11" max="11" width="12.3984375" style="4" bestFit="1" customWidth="1"/>
    <col min="12" max="16384" width="8.73046875" style="1"/>
  </cols>
  <sheetData>
    <row r="1" spans="1:11" ht="15" customHeight="1" x14ac:dyDescent="0.3">
      <c r="A1" s="53"/>
      <c r="B1" s="53"/>
      <c r="C1" s="53"/>
      <c r="D1" s="53"/>
      <c r="E1" s="53"/>
      <c r="F1" s="53"/>
      <c r="G1" s="53"/>
      <c r="H1" s="53"/>
      <c r="I1" s="53"/>
    </row>
    <row r="2" spans="1:11" ht="20.25" customHeight="1" x14ac:dyDescent="0.3">
      <c r="A2" s="9"/>
      <c r="B2" s="9"/>
      <c r="C2" s="9"/>
      <c r="D2" s="56" t="s">
        <v>14</v>
      </c>
      <c r="E2" s="57"/>
      <c r="F2" s="57"/>
      <c r="G2" s="10"/>
      <c r="H2" s="58" t="s">
        <v>16</v>
      </c>
      <c r="I2" s="58"/>
    </row>
    <row r="3" spans="1:11" ht="20.25" customHeight="1" x14ac:dyDescent="0.3">
      <c r="A3" s="3"/>
      <c r="B3" s="3"/>
      <c r="C3" s="3"/>
      <c r="D3" s="57"/>
      <c r="E3" s="57"/>
      <c r="F3" s="57"/>
      <c r="G3" s="10"/>
      <c r="H3" s="59" t="s">
        <v>17</v>
      </c>
      <c r="I3" s="59"/>
    </row>
    <row r="4" spans="1:11" ht="20.25" customHeight="1" x14ac:dyDescent="0.3">
      <c r="A4" s="63" t="s">
        <v>15</v>
      </c>
      <c r="B4" s="63"/>
      <c r="C4" s="63"/>
      <c r="D4" s="57"/>
      <c r="E4" s="57"/>
      <c r="F4" s="57"/>
      <c r="G4" s="10"/>
      <c r="H4" s="59" t="s">
        <v>18</v>
      </c>
      <c r="I4" s="59"/>
    </row>
    <row r="5" spans="1:11" ht="23.25" customHeight="1" x14ac:dyDescent="0.3">
      <c r="A5" s="2"/>
      <c r="B5" s="2"/>
      <c r="C5" s="2"/>
      <c r="D5" s="2"/>
      <c r="E5" s="2"/>
      <c r="F5" s="2"/>
      <c r="G5" s="2"/>
      <c r="H5" s="2"/>
      <c r="I5" s="2"/>
      <c r="K5" s="6"/>
    </row>
    <row r="6" spans="1:11" ht="29.25" customHeight="1" x14ac:dyDescent="0.3">
      <c r="A6" s="46" t="s">
        <v>19</v>
      </c>
      <c r="B6" s="47"/>
      <c r="C6" s="47"/>
      <c r="D6" s="47"/>
      <c r="E6" s="47"/>
      <c r="F6" s="47"/>
      <c r="G6" s="47"/>
      <c r="H6" s="47"/>
      <c r="I6" s="48"/>
      <c r="K6" s="6"/>
    </row>
    <row r="7" spans="1:11" ht="30" customHeight="1" x14ac:dyDescent="0.3">
      <c r="A7" s="46" t="s">
        <v>13</v>
      </c>
      <c r="B7" s="47"/>
      <c r="C7" s="47"/>
      <c r="D7" s="47"/>
      <c r="E7" s="47"/>
      <c r="F7" s="47"/>
      <c r="G7" s="47"/>
      <c r="H7" s="47"/>
      <c r="I7" s="48"/>
    </row>
    <row r="8" spans="1:11" ht="6.75" customHeight="1" x14ac:dyDescent="0.3">
      <c r="A8" s="49"/>
      <c r="B8" s="49"/>
      <c r="C8" s="49"/>
      <c r="D8" s="49"/>
      <c r="E8" s="49"/>
      <c r="F8" s="49"/>
      <c r="G8" s="49"/>
      <c r="H8" s="49"/>
      <c r="I8" s="49"/>
    </row>
    <row r="9" spans="1:11" x14ac:dyDescent="0.3">
      <c r="A9" s="64"/>
      <c r="B9" s="64"/>
      <c r="C9" s="64"/>
      <c r="D9" s="64"/>
      <c r="E9" s="64"/>
      <c r="F9" s="64"/>
      <c r="G9" s="64"/>
      <c r="H9" s="64"/>
      <c r="I9" s="64"/>
    </row>
    <row r="10" spans="1:11" ht="6.75" customHeight="1" thickBot="1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11" s="13" customFormat="1" ht="24.75" customHeight="1" thickBot="1" x14ac:dyDescent="0.3">
      <c r="A11" s="24" t="s">
        <v>9</v>
      </c>
      <c r="B11" s="25" t="s">
        <v>3</v>
      </c>
      <c r="C11" s="62">
        <f>G31</f>
        <v>0</v>
      </c>
      <c r="D11" s="62"/>
      <c r="E11" s="62"/>
      <c r="F11" s="36" t="s">
        <v>12</v>
      </c>
      <c r="G11" s="60">
        <f>G31</f>
        <v>0</v>
      </c>
      <c r="H11" s="60"/>
      <c r="I11" s="61"/>
      <c r="J11" s="19"/>
    </row>
    <row r="12" spans="1:11" s="13" customFormat="1" ht="24.75" customHeight="1" thickBot="1" x14ac:dyDescent="0.3">
      <c r="A12" s="54" t="s">
        <v>5</v>
      </c>
      <c r="B12" s="55"/>
      <c r="C12" s="55"/>
      <c r="D12" s="55"/>
      <c r="E12" s="20" t="s">
        <v>4</v>
      </c>
      <c r="F12" s="20" t="s">
        <v>6</v>
      </c>
      <c r="G12" s="55" t="s">
        <v>7</v>
      </c>
      <c r="H12" s="55"/>
      <c r="I12" s="21" t="s">
        <v>8</v>
      </c>
      <c r="K12" s="14"/>
    </row>
    <row r="13" spans="1:11" ht="20.25" customHeight="1" x14ac:dyDescent="0.3">
      <c r="A13" s="22">
        <v>1</v>
      </c>
      <c r="B13" s="41"/>
      <c r="C13" s="41"/>
      <c r="D13" s="41"/>
      <c r="E13" s="35"/>
      <c r="F13" s="38"/>
      <c r="G13" s="45">
        <f>E13*F13</f>
        <v>0</v>
      </c>
      <c r="H13" s="45"/>
      <c r="I13" s="23"/>
      <c r="J13" s="12"/>
    </row>
    <row r="14" spans="1:11" ht="20.25" customHeight="1" x14ac:dyDescent="0.3">
      <c r="A14" s="22">
        <v>2</v>
      </c>
      <c r="B14" s="50"/>
      <c r="C14" s="51"/>
      <c r="D14" s="52"/>
      <c r="E14" s="35"/>
      <c r="F14" s="26"/>
      <c r="G14" s="39"/>
      <c r="H14" s="39"/>
      <c r="I14" s="37"/>
      <c r="J14" s="12"/>
    </row>
    <row r="15" spans="1:11" ht="20.25" customHeight="1" x14ac:dyDescent="0.3">
      <c r="A15" s="22">
        <v>3</v>
      </c>
      <c r="B15" s="40"/>
      <c r="C15" s="40"/>
      <c r="D15" s="40"/>
      <c r="E15" s="35"/>
      <c r="F15" s="26"/>
      <c r="G15" s="39"/>
      <c r="H15" s="39"/>
      <c r="I15" s="23"/>
      <c r="J15" s="12"/>
    </row>
    <row r="16" spans="1:11" ht="20.25" customHeight="1" x14ac:dyDescent="0.3">
      <c r="A16" s="22"/>
      <c r="B16" s="40"/>
      <c r="C16" s="40"/>
      <c r="D16" s="40"/>
      <c r="E16" s="35"/>
      <c r="F16" s="26"/>
      <c r="G16" s="39"/>
      <c r="H16" s="39"/>
      <c r="I16" s="23"/>
      <c r="J16" s="12"/>
    </row>
    <row r="17" spans="1:11" ht="20.25" customHeight="1" x14ac:dyDescent="0.3">
      <c r="A17" s="22"/>
      <c r="B17" s="44"/>
      <c r="C17" s="44"/>
      <c r="D17" s="41"/>
      <c r="E17" s="34"/>
      <c r="F17" s="26"/>
      <c r="G17" s="39"/>
      <c r="H17" s="39"/>
      <c r="I17" s="23"/>
      <c r="J17" s="12"/>
    </row>
    <row r="18" spans="1:11" ht="20.25" customHeight="1" x14ac:dyDescent="0.3">
      <c r="A18" s="22"/>
      <c r="B18" s="41"/>
      <c r="C18" s="41"/>
      <c r="D18" s="41"/>
      <c r="E18" s="34"/>
      <c r="F18" s="26"/>
      <c r="G18" s="39"/>
      <c r="H18" s="39"/>
      <c r="I18" s="23"/>
      <c r="J18" s="12"/>
    </row>
    <row r="19" spans="1:11" ht="20.25" customHeight="1" x14ac:dyDescent="0.3">
      <c r="A19" s="22"/>
      <c r="B19" s="41"/>
      <c r="C19" s="41"/>
      <c r="D19" s="41"/>
      <c r="E19" s="34"/>
      <c r="F19" s="26"/>
      <c r="G19" s="39"/>
      <c r="H19" s="39"/>
      <c r="I19" s="23"/>
      <c r="J19" s="12"/>
    </row>
    <row r="20" spans="1:11" ht="20.25" customHeight="1" x14ac:dyDescent="0.3">
      <c r="A20" s="22"/>
      <c r="B20" s="41"/>
      <c r="C20" s="41"/>
      <c r="D20" s="41"/>
      <c r="E20" s="34"/>
      <c r="F20" s="26"/>
      <c r="G20" s="39"/>
      <c r="H20" s="39"/>
      <c r="I20" s="23"/>
      <c r="J20" s="12"/>
    </row>
    <row r="21" spans="1:11" ht="20.25" customHeight="1" x14ac:dyDescent="0.3">
      <c r="A21" s="22"/>
      <c r="B21" s="41"/>
      <c r="C21" s="41"/>
      <c r="D21" s="41"/>
      <c r="E21" s="34"/>
      <c r="F21" s="26"/>
      <c r="G21" s="39"/>
      <c r="H21" s="39"/>
      <c r="I21" s="23"/>
      <c r="J21" s="12"/>
    </row>
    <row r="22" spans="1:11" ht="20.25" customHeight="1" x14ac:dyDescent="0.3">
      <c r="A22" s="22"/>
      <c r="B22" s="44"/>
      <c r="C22" s="44"/>
      <c r="D22" s="41"/>
      <c r="E22" s="34"/>
      <c r="F22" s="26"/>
      <c r="G22" s="39"/>
      <c r="H22" s="39"/>
      <c r="I22" s="23"/>
      <c r="J22" s="12"/>
    </row>
    <row r="23" spans="1:11" ht="20.25" customHeight="1" x14ac:dyDescent="0.3">
      <c r="A23" s="22"/>
      <c r="B23" s="44"/>
      <c r="C23" s="44"/>
      <c r="D23" s="41"/>
      <c r="E23" s="34"/>
      <c r="F23" s="26"/>
      <c r="G23" s="39"/>
      <c r="H23" s="39"/>
      <c r="I23" s="23"/>
      <c r="J23" s="12"/>
    </row>
    <row r="24" spans="1:11" ht="20.25" customHeight="1" x14ac:dyDescent="0.3">
      <c r="A24" s="22"/>
      <c r="B24" s="44"/>
      <c r="C24" s="44"/>
      <c r="D24" s="41"/>
      <c r="E24" s="34"/>
      <c r="F24" s="26"/>
      <c r="G24" s="39"/>
      <c r="H24" s="39"/>
      <c r="I24" s="23"/>
      <c r="J24" s="12"/>
    </row>
    <row r="25" spans="1:11" ht="20.25" customHeight="1" x14ac:dyDescent="0.3">
      <c r="A25" s="22"/>
      <c r="B25" s="44"/>
      <c r="C25" s="44"/>
      <c r="D25" s="41"/>
      <c r="E25" s="34"/>
      <c r="F25" s="26"/>
      <c r="G25" s="39"/>
      <c r="H25" s="39"/>
      <c r="I25" s="23"/>
      <c r="J25" s="12"/>
    </row>
    <row r="26" spans="1:11" ht="20.25" customHeight="1" x14ac:dyDescent="0.3">
      <c r="A26" s="22"/>
      <c r="B26" s="40"/>
      <c r="C26" s="40"/>
      <c r="D26" s="40"/>
      <c r="E26" s="34"/>
      <c r="F26" s="26"/>
      <c r="G26" s="39"/>
      <c r="H26" s="39"/>
      <c r="I26" s="23"/>
      <c r="J26" s="12"/>
    </row>
    <row r="27" spans="1:11" ht="20.25" customHeight="1" x14ac:dyDescent="0.3">
      <c r="A27" s="15"/>
      <c r="B27" s="43"/>
      <c r="C27" s="43"/>
      <c r="D27" s="43"/>
      <c r="E27" s="8"/>
      <c r="F27" s="7"/>
      <c r="G27" s="42"/>
      <c r="H27" s="42"/>
      <c r="I27" s="11"/>
      <c r="J27" s="12"/>
    </row>
    <row r="28" spans="1:11" ht="20.25" customHeight="1" thickBot="1" x14ac:dyDescent="0.35">
      <c r="A28" s="15"/>
      <c r="B28" s="43"/>
      <c r="C28" s="43"/>
      <c r="D28" s="43"/>
      <c r="E28" s="8"/>
      <c r="F28" s="7"/>
      <c r="G28" s="42"/>
      <c r="H28" s="42"/>
      <c r="I28" s="11"/>
      <c r="J28" s="12"/>
    </row>
    <row r="29" spans="1:11" s="13" customFormat="1" ht="27.75" customHeight="1" thickBot="1" x14ac:dyDescent="0.3">
      <c r="A29" s="65" t="s">
        <v>1</v>
      </c>
      <c r="B29" s="66"/>
      <c r="C29" s="66"/>
      <c r="D29" s="66"/>
      <c r="E29" s="27"/>
      <c r="F29" s="28"/>
      <c r="G29" s="67">
        <f>SUM(G13:H28)</f>
        <v>0</v>
      </c>
      <c r="H29" s="68"/>
      <c r="I29" s="33"/>
    </row>
    <row r="30" spans="1:11" s="13" customFormat="1" ht="27.75" customHeight="1" thickBot="1" x14ac:dyDescent="0.3">
      <c r="A30" s="65" t="s">
        <v>10</v>
      </c>
      <c r="B30" s="66"/>
      <c r="C30" s="66"/>
      <c r="D30" s="66"/>
      <c r="E30" s="27"/>
      <c r="F30" s="28"/>
      <c r="G30" s="67">
        <f>G29*0.1</f>
        <v>0</v>
      </c>
      <c r="H30" s="68"/>
      <c r="I30" s="29"/>
    </row>
    <row r="31" spans="1:11" s="13" customFormat="1" ht="27.75" customHeight="1" thickBot="1" x14ac:dyDescent="0.3">
      <c r="A31" s="69" t="s">
        <v>2</v>
      </c>
      <c r="B31" s="70"/>
      <c r="C31" s="70"/>
      <c r="D31" s="70"/>
      <c r="E31" s="30"/>
      <c r="F31" s="31"/>
      <c r="G31" s="71">
        <f>G29+G30</f>
        <v>0</v>
      </c>
      <c r="H31" s="72"/>
      <c r="I31" s="32"/>
    </row>
    <row r="32" spans="1:11" ht="23.25" customHeight="1" x14ac:dyDescent="0.3">
      <c r="A32" s="80" t="s">
        <v>0</v>
      </c>
      <c r="B32" s="73"/>
      <c r="C32" s="74"/>
      <c r="D32" s="75"/>
      <c r="E32" s="75"/>
      <c r="F32" s="75"/>
      <c r="G32" s="75"/>
      <c r="H32" s="75"/>
      <c r="I32" s="75"/>
      <c r="J32" s="1"/>
      <c r="K32" s="1"/>
    </row>
    <row r="33" spans="1:13" ht="23.25" customHeight="1" x14ac:dyDescent="0.3">
      <c r="A33" s="81"/>
      <c r="B33" s="76"/>
      <c r="C33" s="77"/>
      <c r="D33" s="77"/>
      <c r="E33" s="77"/>
      <c r="F33" s="77"/>
      <c r="G33" s="77"/>
      <c r="H33" s="77"/>
      <c r="I33" s="77"/>
      <c r="J33" s="1"/>
      <c r="K33" s="1"/>
    </row>
    <row r="34" spans="1:13" ht="23.25" customHeight="1" x14ac:dyDescent="0.3">
      <c r="A34" s="81"/>
      <c r="B34" s="76"/>
      <c r="C34" s="77"/>
      <c r="D34" s="77"/>
      <c r="E34" s="77"/>
      <c r="F34" s="77"/>
      <c r="G34" s="77"/>
      <c r="H34" s="77"/>
      <c r="I34" s="77"/>
      <c r="J34" s="1"/>
      <c r="K34" s="1"/>
    </row>
    <row r="35" spans="1:13" ht="23.25" customHeight="1" x14ac:dyDescent="0.3">
      <c r="A35" s="81"/>
      <c r="B35" s="76"/>
      <c r="C35" s="77"/>
      <c r="D35" s="77"/>
      <c r="E35" s="77"/>
      <c r="F35" s="77"/>
      <c r="G35" s="77"/>
      <c r="H35" s="77"/>
      <c r="I35" s="77"/>
      <c r="J35" s="1"/>
      <c r="K35" s="1"/>
    </row>
    <row r="36" spans="1:13" s="16" customFormat="1" ht="16.3" thickBot="1" x14ac:dyDescent="0.35">
      <c r="A36" s="78" t="s">
        <v>11</v>
      </c>
      <c r="B36" s="79"/>
      <c r="C36" s="79"/>
      <c r="D36" s="79"/>
      <c r="E36" s="79"/>
      <c r="F36" s="79"/>
      <c r="G36" s="79"/>
      <c r="H36" s="79"/>
      <c r="I36" s="79"/>
      <c r="J36" s="18"/>
      <c r="K36" s="18"/>
      <c r="M36" s="17"/>
    </row>
    <row r="37" spans="1:13" x14ac:dyDescent="0.3">
      <c r="A37" s="49"/>
      <c r="B37" s="49"/>
      <c r="C37" s="49"/>
      <c r="D37" s="49"/>
      <c r="E37" s="49"/>
      <c r="F37" s="49"/>
      <c r="G37" s="49"/>
      <c r="H37" s="49"/>
      <c r="I37" s="49"/>
    </row>
    <row r="38" spans="1:13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13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13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13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13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13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13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13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13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13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13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</sheetData>
  <mergeCells count="56">
    <mergeCell ref="B18:D18"/>
    <mergeCell ref="B19:D19"/>
    <mergeCell ref="B20:D20"/>
    <mergeCell ref="A37:I37"/>
    <mergeCell ref="A29:D29"/>
    <mergeCell ref="G29:H29"/>
    <mergeCell ref="A30:D30"/>
    <mergeCell ref="G30:H30"/>
    <mergeCell ref="A31:D31"/>
    <mergeCell ref="G31:H31"/>
    <mergeCell ref="B32:I35"/>
    <mergeCell ref="A36:I36"/>
    <mergeCell ref="B28:D28"/>
    <mergeCell ref="A32:A35"/>
    <mergeCell ref="G18:H18"/>
    <mergeCell ref="G25:H25"/>
    <mergeCell ref="A1:I1"/>
    <mergeCell ref="A12:D12"/>
    <mergeCell ref="G12:H12"/>
    <mergeCell ref="A7:I7"/>
    <mergeCell ref="D2:F4"/>
    <mergeCell ref="H2:I2"/>
    <mergeCell ref="H3:I3"/>
    <mergeCell ref="H4:I4"/>
    <mergeCell ref="G11:I11"/>
    <mergeCell ref="C11:E11"/>
    <mergeCell ref="A4:C4"/>
    <mergeCell ref="A9:I9"/>
    <mergeCell ref="B13:D13"/>
    <mergeCell ref="G13:H13"/>
    <mergeCell ref="A6:I6"/>
    <mergeCell ref="G15:H15"/>
    <mergeCell ref="G17:H17"/>
    <mergeCell ref="A8:I8"/>
    <mergeCell ref="B16:D16"/>
    <mergeCell ref="G16:H16"/>
    <mergeCell ref="G14:H14"/>
    <mergeCell ref="B14:D14"/>
    <mergeCell ref="B17:D17"/>
    <mergeCell ref="B15:D15"/>
    <mergeCell ref="G19:H19"/>
    <mergeCell ref="B26:D26"/>
    <mergeCell ref="G22:H22"/>
    <mergeCell ref="B21:D21"/>
    <mergeCell ref="G28:H28"/>
    <mergeCell ref="G27:H27"/>
    <mergeCell ref="B27:D27"/>
    <mergeCell ref="G26:H26"/>
    <mergeCell ref="B22:D22"/>
    <mergeCell ref="G23:H23"/>
    <mergeCell ref="G24:H24"/>
    <mergeCell ref="B23:D23"/>
    <mergeCell ref="G20:H20"/>
    <mergeCell ref="G21:H21"/>
    <mergeCell ref="B25:D25"/>
    <mergeCell ref="B24:D24"/>
  </mergeCells>
  <phoneticPr fontId="2" type="noConversion"/>
  <printOptions horizontalCentered="1" verticalCentered="1"/>
  <pageMargins left="0.35433070866141736" right="0.35433070866141736" top="0.39370078740157483" bottom="0.39370078740157483" header="0.51181102362204722" footer="0.51181102362204722"/>
  <pageSetup paperSize="9" orientation="portrait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영호짱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영호짱</dc:creator>
  <cp:lastModifiedBy>Yurir011</cp:lastModifiedBy>
  <cp:lastPrinted>2023-06-23T05:38:34Z</cp:lastPrinted>
  <dcterms:created xsi:type="dcterms:W3CDTF">2003-10-28T05:39:43Z</dcterms:created>
  <dcterms:modified xsi:type="dcterms:W3CDTF">2026-09-16T06:58:07Z</dcterms:modified>
</cp:coreProperties>
</file>